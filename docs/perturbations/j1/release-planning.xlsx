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dabyun/Downloads/"/>
    </mc:Choice>
  </mc:AlternateContent>
  <xr:revisionPtr revIDLastSave="0" documentId="8_{39EB8486-FA60-C047-8DA9-4BC287B7829B}" xr6:coauthVersionLast="47" xr6:coauthVersionMax="47" xr10:uidLastSave="{00000000-0000-0000-0000-000000000000}"/>
  <bookViews>
    <workbookView xWindow="20" yWindow="600" windowWidth="17120" windowHeight="18920" activeTab="2" xr2:uid="{00000000-000D-0000-FFFF-FFFF00000000}"/>
  </bookViews>
  <sheets>
    <sheet name="Garde" sheetId="1" r:id="rId1"/>
    <sheet name="Identification" sheetId="2" r:id="rId2"/>
    <sheet name="Release Planning" sheetId="3" r:id="rId3"/>
    <sheet name="Burnup global" sheetId="4" r:id="rId4"/>
    <sheet name="Auto-évaluation" sheetId="5" r:id="rId5"/>
  </sheets>
  <calcPr calcId="0"/>
</workbook>
</file>

<file path=xl/sharedStrings.xml><?xml version="1.0" encoding="utf-8"?>
<sst xmlns="http://schemas.openxmlformats.org/spreadsheetml/2006/main" count="191" uniqueCount="161">
  <si>
    <t>A</t>
  </si>
  <si>
    <t>APOCAL'IPSSI</t>
  </si>
  <si>
    <t>CADRAGE MATINAL · ARTEFACT 5 SUR 7</t>
  </si>
  <si>
    <t>Release Planning</t>
  </si>
  <si>
    <t>Planning des 7 sprints demi-journée et des 2 releases d'EduTutor IA</t>
  </si>
  <si>
    <t>Sprint</t>
  </si>
  <si>
    <t>Jour</t>
  </si>
  <si>
    <t>Horaires</t>
  </si>
  <si>
    <t>Capacité (h-pers)</t>
  </si>
  <si>
    <t>Vélocité cible (SP)</t>
  </si>
  <si>
    <t>Objectif sprint</t>
  </si>
  <si>
    <t>Stories engagées</t>
  </si>
  <si>
    <t>Release / Jalon</t>
  </si>
  <si>
    <t>Cadrage</t>
  </si>
  <si>
    <t>Lundi matin</t>
  </si>
  <si>
    <t>9h00 – 13h30</t>
  </si>
  <si>
    <t>n.c.</t>
  </si>
  <si>
    <t>📋 Validation PO 14h00</t>
  </si>
  <si>
    <t>Sprint 1</t>
  </si>
  <si>
    <t>Lundi PM</t>
  </si>
  <si>
    <t>14h00 – 18h00</t>
  </si>
  <si>
    <t>8-10</t>
  </si>
  <si>
    <t>Sprint 2</t>
  </si>
  <si>
    <t>Mardi matin</t>
  </si>
  <si>
    <t>9h00 – 12h30</t>
  </si>
  <si>
    <t>US-03</t>
  </si>
  <si>
    <t>⚡ Perturbation J2 à 10h</t>
  </si>
  <si>
    <t>Sprint 3</t>
  </si>
  <si>
    <t>Mardi PM</t>
  </si>
  <si>
    <t>🟦 Sprint Review 18h</t>
  </si>
  <si>
    <t>Sprint 4</t>
  </si>
  <si>
    <t>Mercredi matin</t>
  </si>
  <si>
    <t>⚡ Perturbation J3 à 10h</t>
  </si>
  <si>
    <t>Sprint 5</t>
  </si>
  <si>
    <t>Mercredi PM</t>
  </si>
  <si>
    <t>Sprint 6</t>
  </si>
  <si>
    <t>Jeudi matin</t>
  </si>
  <si>
    <t>8</t>
  </si>
  <si>
    <t>⚡ Perturbation J4 à 10h</t>
  </si>
  <si>
    <t>Sprint 7</t>
  </si>
  <si>
    <t>Jeudi PM</t>
  </si>
  <si>
    <t>14h00 – 17h00</t>
  </si>
  <si>
    <t>6-8</t>
  </si>
  <si>
    <t>🚀 Release 2 17h</t>
  </si>
  <si>
    <t>Soutenance</t>
  </si>
  <si>
    <t>Vendredi</t>
  </si>
  <si>
    <t>Selon planning</t>
  </si>
  <si>
    <t>TOTAL semaine</t>
  </si>
  <si>
    <t>📌 DÉCISION J1</t>
  </si>
  <si>
    <t>Léa reste prioritaire. Mme Lefèvre est intégrée en Release 1 : voir les scores, repérer les décrocheurs, envoyer un conseil simple. Le dashboard classe complet passe en Release 2.</t>
  </si>
  <si>
    <t>🟦 Sprint Review</t>
  </si>
  <si>
    <t>Démo des stories à la fin du sprint + validation PO.</t>
  </si>
  <si>
    <t>⚡ Perturbation</t>
  </si>
  <si>
    <t>J1 lundi 14h, J2 mardi 10h, J3 mercredi 10h, J3-bis mercredi 14h, J4 jeudi 10h.</t>
  </si>
  <si>
    <t>🚀 Release</t>
  </si>
  <si>
    <t>Release 1 mercredi 17h45 : MVP étudiant + slice enseignant minimal. Release 2 jeudi 17h : enrichissements.</t>
  </si>
  <si>
    <t>🎤 Soutenance</t>
  </si>
  <si>
    <t>Expliquer le compromis : on ajoute Mme Lefèvre sans écraser Léa ni exploser le scope.</t>
  </si>
  <si>
    <t>IDENTIFICATION DU DOCUMENT</t>
  </si>
  <si>
    <t>À compléter par l'équipe avant chaque remise</t>
  </si>
  <si>
    <t>Équipe n°</t>
  </si>
  <si>
    <t>Membres</t>
  </si>
  <si>
    <t>Adrien ANTUNES, Hocine AKLI, Alexis RODRIGUES, Thibault LECHANTRE, Binti-Warda MOUZDA, Joud ATALLAH, Mohammed MOSLEH</t>
  </si>
  <si>
    <t>Sprint concerné</t>
  </si>
  <si>
    <t xml:space="preserve">Cadrage </t>
  </si>
  <si>
    <t>v2.0 (post-perturbation J1)</t>
  </si>
  <si>
    <t>[ v1.0 · v1.1 · v2.0 ]</t>
  </si>
  <si>
    <t>29/06/2026 17h45</t>
  </si>
  <si>
    <t>[ JJ/MM/AAAA  HHhMM ]</t>
  </si>
  <si>
    <t>Draft - à valider PO</t>
  </si>
  <si>
    <t>Draft</t>
  </si>
  <si>
    <t>💡 Convention de nommage du fichier :</t>
  </si>
  <si>
    <t>equipe-XX-nom-document-vY.Z.xlsx  (ex. equipe-03-product-backlog-v1.0.xlsx)</t>
  </si>
  <si>
    <t>RELEASE PLANNING : SEMAINE APOCAL'IPSSI 2026</t>
  </si>
  <si>
    <t>7 sprints × demi-journée + cadrage matinal + soutenance vendredi</t>
  </si>
  <si>
    <t>💡 OBJECTIF</t>
  </si>
  <si>
    <t>Vue d'ensemble de la semaine : objectif et stories engagées par sprint, capacité réaliste, vélocité cible.</t>
  </si>
  <si>
    <t>📐 FORMAT</t>
  </si>
  <si>
    <t>9 lignes (Cadrage + 7 sprints + Soutenance) × 8 colonnes. Tag US-XX en colonne stories pour traçabilité Product Backlog.</t>
  </si>
  <si>
    <t>✅ BON</t>
  </si>
  <si>
    <t>« Sprint 1 : Objectif = setup MVP F1 + F2 · Capacité 28 h-pers · Vélocité 10 SP · Stories US-01, US-02 »</t>
  </si>
  <si>
    <t>❌ À ÉVITER</t>
  </si>
  <si>
    <t>« Sprint 1 : faire du progrès » (ni mesurable, ni vérifiable en revue de sprint)</t>
  </si>
  <si>
    <t>Produire les 7 artefacts agiles (Vision, Personas, Customer Journey, Story Map, Release Planning, Product Backlog, Sprint Backlog)</t>
  </si>
  <si>
    <t>10</t>
  </si>
  <si>
    <t>Setup technique + démarrage MVP (F1 inscription, F2 upload cours)</t>
  </si>
  <si>
    <t>US-01, US-02</t>
  </si>
  <si>
    <t>Génération quiz F3 (Llama 3.1 8B via Ollama), perturbation J2 (latence)</t>
  </si>
  <si>
    <t>Correction + scoring F4/F5 + intégration ADR-J2</t>
  </si>
  <si>
    <t>US-04, US-05</t>
  </si>
  <si>
    <t>Historique F6 + sécurisation prompt injection (perturbation J3)</t>
  </si>
  <si>
    <t>US-06 + patch sécurité</t>
  </si>
  <si>
    <t>Conformité RGPD SAR (J3-bis) + finalisation MVP F1-F6</t>
  </si>
  <si>
    <t>⚡ J3-bis 14h · 🚀 Release 1 (MVP) 17h45</t>
  </si>
  <si>
    <t>Stories Release 2 (2-3 pistes choisies), crise utilisateur J4</t>
  </si>
  <si>
    <t>Finalisation Release 2 + post-mortem J4 + démo prête</t>
  </si>
  <si>
    <t>Pitch (15 min) + démo live MVP + Release 2 + retour réflexif sur les 5 perturbations + Q/R jury</t>
  </si>
  <si>
    <t>🎤 Soutenance + délibération</t>
  </si>
  <si>
    <t>~ 50-60 SP</t>
  </si>
  <si>
    <t>Capacité totale = 203.0 h-pers (équipe de 7 personnes)</t>
  </si>
  <si>
    <t>📌 LÉGENDE</t>
  </si>
  <si>
    <t>Démo des stories à la fin du sprint + validation PO</t>
  </si>
  <si>
    <t>Événement imprévu déclenché par l'équipe pédagogique, voir page Perturbations du site</t>
  </si>
  <si>
    <t>Livraison incrément potentiellement déployable (tag Git + démo enregistrable)</t>
  </si>
  <si>
    <t>Pitch + démo + retour réflexif + Q/R jury (vendredi)</t>
  </si>
  <si>
    <t>BURNUP GLOBAL : SEMAINE APOCAL'IPSSI 2026 — APRÈS J1</t>
  </si>
  <si>
    <t>Suivi des story points livrés cumulés vs scope total actif après ajout de Mme Lefèvre</t>
  </si>
  <si>
    <t>💡 Lecture</t>
  </si>
  <si>
    <t>Le burnup monte quand des stories sont validées en review. La ligne de scope monte quand une perturbation ajoute du travail.</t>
  </si>
  <si>
    <t>📌 Décision J1</t>
  </si>
  <si>
    <t>Scope initial Léa ≈ 56 SP. Après J1, Mme Lefèvre ajoute un slice enseignant estimé à +8 SP : scope actif ≈ 64 SP.</t>
  </si>
  <si>
    <t>✅ Pourquoi le réel reste à compléter</t>
  </si>
  <si>
    <t>Les SP réels se remplissent seulement après chaque Sprint Review, avec les stories vraiment terminées et acceptées.</t>
  </si>
  <si>
    <t>Fin de sprint</t>
  </si>
  <si>
    <t>SP prévus cumulés</t>
  </si>
  <si>
    <t>SP réels cumulés</t>
  </si>
  <si>
    <t>Scope total actif</t>
  </si>
  <si>
    <t>Commentaire</t>
  </si>
  <si>
    <t>Sprint 0</t>
  </si>
  <si>
    <t>Lun 13h30</t>
  </si>
  <si>
    <t>Cadrage : scope initial centré sur Léa / MVP étudiant.</t>
  </si>
  <si>
    <t>Lun 18h</t>
  </si>
  <si>
    <t>J1 ajoute Mme Lefèvre : +8 SP estimés, sans supprimer Léa.</t>
  </si>
  <si>
    <t>Mar 12h30</t>
  </si>
  <si>
    <t>Génération IA : progression sur le MVP étudiant.</t>
  </si>
  <si>
    <t>Mar 18h</t>
  </si>
  <si>
    <t>Quiz + résultats : base commune étudiant / enseignant.</t>
  </si>
  <si>
    <t>Mer 12h30</t>
  </si>
  <si>
    <t>Historique + sécurité J3, préparation Release 1.</t>
  </si>
  <si>
    <t>Mer 18h</t>
  </si>
  <si>
    <t>Release 1 : MVP F1-F6 + slice enseignant minimal + RGPD J3-bis.</t>
  </si>
  <si>
    <t>Jeu 12h30</t>
  </si>
  <si>
    <t>Release 2 : enrichissements prioritaires, dont dashboard/progression.</t>
  </si>
  <si>
    <t>Jeu 17h</t>
  </si>
  <si>
    <t>Release 2 finalisée ; reste éventuel gardé en backlog post-soutenance.</t>
  </si>
  <si>
    <t>Pourquoi 56 → 64 SP ?</t>
  </si>
  <si>
    <t>Le scope initial correspond au périmètre étudiant. La perturbation J1 ajoute Mme Lefèvre, estimée ici à +8 SP pour un slice minimal. Le burnup montre donc une hausse de scope dès le Sprint 1.</t>
  </si>
  <si>
    <t>Pourquoi les SP prévus finissent à 60 et pas 64 ?</t>
  </si>
  <si>
    <t>C’est volontaire : le planning reste réaliste. On prévoit de livrer l’essentiel, mais on garde une petite marge / reste à arbitrer plutôt que de promettre 100 % du scope.</t>
  </si>
  <si>
    <t>Que remplir pendant la semaine ?</t>
  </si>
  <si>
    <t>Après chaque review, remplacez la cellule vide de la colonne “SP réels cumulés” par le total réellement validé. Exemple : si S1 livre 7 SP, mettez 7.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</si>
  <si>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</si>
  <si>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</si>
  <si>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</si>
  <si>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</si>
  <si>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</si>
  <si>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Oui</t>
  </si>
  <si>
    <t>Les 7 sprints et les horaires sont renseignés.</t>
  </si>
  <si>
    <t>Capacité calculée pour 7 personnes, total 203 h-pers.</t>
  </si>
  <si>
    <t>Chaque sprint a un objectif livrable et vérifiable.</t>
  </si>
  <si>
    <t>Chaque sprint engage des US-XX ou US-J1-XX.</t>
  </si>
  <si>
    <t>Release 1 placée mercredi 17h45 avec MVP + slice enseignant minimal.</t>
  </si>
  <si>
    <t>Release 2 placée jeudi 17h avec dashboard/enrichissements.</t>
  </si>
  <si>
    <t>J1, J2, J3, J3-bis et J4 sont positionnées.</t>
  </si>
  <si>
    <t>Burnup refait avec scope initial 56 SP, impact J1 à 64 SP, prévision cumulée et colonne réel à compléter après review.</t>
  </si>
  <si>
    <t>Partiel</t>
  </si>
  <si>
    <t>À valider collectivement avec le PO et l’équipe.</t>
  </si>
  <si>
    <t>US-09, US-10 ; US-11 si capacité</t>
  </si>
  <si>
    <t>Démo US-01 à US-06 + slice J1 si disponible</t>
  </si>
  <si>
    <t>US-07, US-08</t>
  </si>
  <si>
    <t>US-15 + correctifs MVP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</si>
</sst>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72"/>
      <color rgb="FF1E1B4B"/>
      <name val="Calibri"/>
      <family val="2"/>
    </font>
    <font>
      <b/>
      <sz val="14"/>
      <color rgb="FF1E1B4B"/>
      <name val="Calibri"/>
      <family val="2"/>
    </font>
    <font>
      <b/>
      <sz val="10"/>
      <color rgb="FFF59E0B"/>
      <name val="Calibri"/>
      <family val="2"/>
    </font>
    <font>
      <b/>
      <sz val="24"/>
      <color rgb="FF1E1B4B"/>
      <name val="Calibri"/>
      <family val="2"/>
    </font>
    <font>
      <i/>
      <sz val="12"/>
      <color rgb="FF475569"/>
      <name val="Calibri"/>
      <family val="2"/>
    </font>
    <font>
      <i/>
      <sz val="9"/>
      <color rgb="FF475569"/>
      <name val="Calibri"/>
      <family val="2"/>
    </font>
    <font>
      <b/>
      <sz val="12"/>
      <color rgb="FFF59E0B"/>
      <name val="Calibri"/>
      <family val="2"/>
    </font>
    <font>
      <i/>
      <sz val="10"/>
      <color rgb="FF475569"/>
      <name val="Calibri"/>
      <family val="2"/>
    </font>
    <font>
      <b/>
      <sz val="11"/>
      <color rgb="FF1E1B4B"/>
      <name val="Calibri"/>
      <family val="2"/>
    </font>
    <font>
      <i/>
      <sz val="11"/>
      <color rgb="FF475569"/>
      <name val="Calibri"/>
      <family val="2"/>
    </font>
    <font>
      <b/>
      <sz val="9"/>
      <color rgb="FFF59E0B"/>
      <name val="Calibri"/>
      <family val="2"/>
    </font>
    <font>
      <b/>
      <sz val="18"/>
      <color rgb="FF1E1B4B"/>
      <name val="Calibri"/>
      <family val="2"/>
    </font>
    <font>
      <b/>
      <sz val="10"/>
      <color rgb="FF16A34A"/>
      <name val="Calibri"/>
      <family val="2"/>
    </font>
    <font>
      <b/>
      <sz val="10"/>
      <color rgb="FFDC2626"/>
      <name val="Calibri"/>
      <family val="2"/>
    </font>
    <font>
      <b/>
      <sz val="11"/>
      <color rgb="FFFFFFFF"/>
      <name val="Calibri"/>
      <family val="2"/>
    </font>
    <font>
      <sz val="10"/>
      <color rgb="FF1E1B4B"/>
      <name val="Calibri"/>
      <family val="2"/>
    </font>
    <font>
      <sz val="10"/>
      <color rgb="FFB45309"/>
      <name val="Calibri"/>
      <family val="2"/>
    </font>
    <font>
      <sz val="10"/>
      <color rgb="FFDC2626"/>
      <name val="Calibri"/>
      <family val="2"/>
    </font>
    <font>
      <sz val="10"/>
      <color rgb="FF16A34A"/>
      <name val="Calibri"/>
      <family val="2"/>
    </font>
    <font>
      <b/>
      <sz val="11"/>
      <color rgb="FF1F1B4D"/>
      <name val="Calibri"/>
      <family val="2"/>
    </font>
    <font>
      <sz val="11"/>
      <color rgb="FF1F1B4D"/>
      <name val="Calibri"/>
      <family val="2"/>
    </font>
    <font>
      <sz val="10"/>
      <color rgb="FF1F1B4D"/>
      <name val="Arial"/>
      <family val="2"/>
    </font>
    <font>
      <b/>
      <sz val="16"/>
      <color rgb="FF1F1B4D"/>
      <name val="Arial"/>
      <family val="2"/>
    </font>
    <font>
      <i/>
      <sz val="10"/>
      <color rgb="FF374151"/>
      <name val="Arial"/>
      <family val="2"/>
    </font>
    <font>
      <b/>
      <sz val="10"/>
      <color rgb="FFE67E00"/>
      <name val="Arial"/>
      <family val="2"/>
    </font>
    <font>
      <b/>
      <sz val="10"/>
      <color rgb="FFFFFFFF"/>
      <name val="Arial"/>
      <family val="2"/>
    </font>
    <font>
      <b/>
      <sz val="10"/>
      <color rgb="FF1F1B4D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FFF"/>
        <bgColor rgb="FFFFFFFF"/>
      </patternFill>
    </fill>
    <fill>
      <patternFill patternType="solid">
        <fgColor rgb="FFFFFBEB"/>
        <bgColor rgb="FFFFFBEB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0E7FF"/>
        <bgColor rgb="FFE0E7FF"/>
      </patternFill>
    </fill>
    <fill>
      <patternFill patternType="solid">
        <fgColor rgb="FFF4F7FF"/>
      </patternFill>
    </fill>
    <fill>
      <patternFill patternType="solid">
        <fgColor rgb="FF1F1B4D"/>
      </patternFill>
    </fill>
    <fill>
      <patternFill patternType="solid">
        <fgColor rgb="FFF7F9FF"/>
      </patternFill>
    </fill>
    <fill>
      <patternFill patternType="solid">
        <fgColor rgb="FFEEF3FF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1" xfId="0" applyFont="1" applyFill="1" applyBorder="1"/>
    <xf numFmtId="0" fontId="10" fillId="0" borderId="1" xfId="0" applyFont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3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vertical="center" wrapText="1"/>
    </xf>
    <xf numFmtId="0" fontId="16" fillId="5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vertical="center" wrapText="1"/>
    </xf>
    <xf numFmtId="0" fontId="16" fillId="6" borderId="2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vertical="center" wrapText="1"/>
    </xf>
    <xf numFmtId="0" fontId="16" fillId="7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vertical="center" wrapText="1"/>
    </xf>
    <xf numFmtId="0" fontId="16" fillId="8" borderId="2" xfId="0" applyFont="1" applyFill="1" applyBorder="1" applyAlignment="1">
      <alignment horizontal="center" vertical="center"/>
    </xf>
    <xf numFmtId="0" fontId="0" fillId="9" borderId="2" xfId="0" applyFill="1" applyBorder="1"/>
    <xf numFmtId="0" fontId="8" fillId="9" borderId="2" xfId="0" applyFont="1" applyFill="1" applyBorder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0" fillId="0" borderId="0" xfId="0" applyAlignment="1">
      <alignment vertical="center" wrapText="1"/>
    </xf>
    <xf numFmtId="0" fontId="20" fillId="10" borderId="3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vertical="center" wrapText="1"/>
    </xf>
    <xf numFmtId="0" fontId="9" fillId="5" borderId="2" xfId="0" applyFont="1" applyFill="1" applyBorder="1" applyAlignment="1">
      <alignment vertical="center" wrapText="1"/>
    </xf>
    <xf numFmtId="0" fontId="9" fillId="6" borderId="2" xfId="0" applyFont="1" applyFill="1" applyBorder="1" applyAlignment="1">
      <alignment vertical="center" wrapText="1"/>
    </xf>
    <xf numFmtId="0" fontId="9" fillId="7" borderId="2" xfId="0" applyFont="1" applyFill="1" applyBorder="1" applyAlignment="1">
      <alignment vertical="center" wrapText="1"/>
    </xf>
    <xf numFmtId="0" fontId="9" fillId="8" borderId="2" xfId="0" applyFont="1" applyFill="1" applyBorder="1" applyAlignment="1">
      <alignment vertical="center" wrapText="1"/>
    </xf>
    <xf numFmtId="0" fontId="9" fillId="9" borderId="2" xfId="0" applyFont="1" applyFill="1" applyBorder="1"/>
    <xf numFmtId="0" fontId="12" fillId="0" borderId="4" xfId="0" applyFont="1" applyBorder="1"/>
    <xf numFmtId="0" fontId="22" fillId="0" borderId="4" xfId="0" applyFont="1" applyBorder="1" applyAlignment="1">
      <alignment vertical="center" wrapText="1"/>
    </xf>
    <xf numFmtId="0" fontId="25" fillId="0" borderId="4" xfId="0" applyFont="1" applyBorder="1" applyAlignment="1">
      <alignment vertical="center" wrapText="1"/>
    </xf>
    <xf numFmtId="0" fontId="26" fillId="11" borderId="4" xfId="0" applyFont="1" applyFill="1" applyBorder="1" applyAlignment="1">
      <alignment horizontal="center" vertical="center" wrapText="1"/>
    </xf>
    <xf numFmtId="0" fontId="22" fillId="14" borderId="5" xfId="0" applyFont="1" applyFill="1" applyBorder="1" applyAlignment="1">
      <alignment vertical="center" wrapText="1"/>
    </xf>
    <xf numFmtId="0" fontId="22" fillId="14" borderId="5" xfId="0" applyFont="1" applyFill="1" applyBorder="1" applyAlignment="1">
      <alignment horizontal="center" vertical="center" wrapText="1"/>
    </xf>
    <xf numFmtId="0" fontId="22" fillId="12" borderId="5" xfId="0" applyFont="1" applyFill="1" applyBorder="1" applyAlignment="1">
      <alignment vertical="center" wrapText="1"/>
    </xf>
    <xf numFmtId="0" fontId="22" fillId="12" borderId="5" xfId="0" applyFont="1" applyFill="1" applyBorder="1" applyAlignment="1">
      <alignment horizontal="center" vertical="center" wrapText="1"/>
    </xf>
    <xf numFmtId="0" fontId="27" fillId="13" borderId="5" xfId="0" applyFont="1" applyFill="1" applyBorder="1" applyAlignment="1">
      <alignment vertical="center" wrapText="1"/>
    </xf>
    <xf numFmtId="0" fontId="21" fillId="10" borderId="3" xfId="0" applyFont="1" applyFill="1" applyBorder="1" applyAlignment="1">
      <alignment vertical="center" wrapText="1"/>
    </xf>
    <xf numFmtId="0" fontId="0" fillId="0" borderId="3" xfId="0" applyBorder="1"/>
    <xf numFmtId="0" fontId="23" fillId="0" borderId="4" xfId="0" applyFont="1" applyBorder="1" applyAlignment="1">
      <alignment vertical="center" wrapText="1"/>
    </xf>
    <xf numFmtId="0" fontId="0" fillId="0" borderId="0" xfId="0"/>
    <xf numFmtId="0" fontId="22" fillId="0" borderId="4" xfId="0" applyFont="1" applyBorder="1" applyAlignment="1">
      <alignment vertical="center" wrapText="1"/>
    </xf>
    <xf numFmtId="0" fontId="22" fillId="13" borderId="5" xfId="0" applyFont="1" applyFill="1" applyBorder="1" applyAlignment="1">
      <alignment vertical="center" wrapText="1"/>
    </xf>
    <xf numFmtId="0" fontId="0" fillId="0" borderId="6" xfId="0" applyBorder="1"/>
    <xf numFmtId="0" fontId="24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Burnup prévisionnel après J1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'Burnup global'!$C$8</c:f>
              <c:strCache>
                <c:ptCount val="1"/>
                <c:pt idx="0">
                  <c:v>SP prévus cumulés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'Burnup global'!$A$9:$A$16</c:f>
              <c:strCache>
                <c:ptCount val="8"/>
                <c:pt idx="0">
                  <c:v>Sprint 0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</c:strCache>
            </c:strRef>
          </c:cat>
          <c:val>
            <c:numRef>
              <c:f>'Burnup global'!$C$9:$C$16</c:f>
              <c:numCache>
                <c:formatCode>General</c:formatCode>
                <c:ptCount val="8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22</c:v>
                </c:pt>
                <c:pt idx="4">
                  <c:v>25</c:v>
                </c:pt>
                <c:pt idx="5">
                  <c:v>30</c:v>
                </c:pt>
                <c:pt idx="6">
                  <c:v>38</c:v>
                </c:pt>
                <c:pt idx="7">
                  <c:v>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CFA-AD42-B92A-F4ABBA4D460E}"/>
            </c:ext>
          </c:extLst>
        </c:ser>
        <c:ser>
          <c:idx val="1"/>
          <c:order val="1"/>
          <c:tx>
            <c:strRef>
              <c:f>'Burnup global'!$E$8</c:f>
              <c:strCache>
                <c:ptCount val="1"/>
                <c:pt idx="0">
                  <c:v>Scope total actif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'Burnup global'!$A$9:$A$16</c:f>
              <c:strCache>
                <c:ptCount val="8"/>
                <c:pt idx="0">
                  <c:v>Sprint 0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</c:strCache>
            </c:strRef>
          </c:cat>
          <c:val>
            <c:numRef>
              <c:f>'Burnup global'!$E$9:$E$16</c:f>
              <c:numCache>
                <c:formatCode>General</c:formatCode>
                <c:ptCount val="8"/>
                <c:pt idx="0">
                  <c:v>56</c:v>
                </c:pt>
                <c:pt idx="1">
                  <c:v>64</c:v>
                </c:pt>
                <c:pt idx="2">
                  <c:v>64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  <c:pt idx="6">
                  <c:v>64</c:v>
                </c:pt>
                <c:pt idx="7">
                  <c:v>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CFA-AD42-B92A-F4ABBA4D4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Sprint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SP cumulés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4860000" cy="223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9"/>
  <sheetViews>
    <sheetView showGridLines="0" zoomScale="68" zoomScaleNormal="68" workbookViewId="0">
      <selection activeCell="N17" sqref="N17"/>
    </sheetView>
  </sheetViews>
  <sheetFormatPr baseColWidth="10" defaultColWidth="8.83203125" defaultRowHeight="15" x14ac:dyDescent="0.2"/>
  <cols>
    <col min="1" max="1" width="4" customWidth="1"/>
    <col min="2" max="2" width="18.1640625" customWidth="1"/>
    <col min="3" max="3" width="13" customWidth="1"/>
    <col min="4" max="4" width="17.6640625" customWidth="1"/>
    <col min="5" max="5" width="17.5" customWidth="1"/>
    <col min="6" max="6" width="16.1640625" customWidth="1"/>
    <col min="7" max="7" width="46.6640625" customWidth="1"/>
    <col min="8" max="8" width="29" customWidth="1"/>
    <col min="9" max="9" width="32.83203125" customWidth="1"/>
  </cols>
  <sheetData>
    <row r="2" spans="2:9" ht="92" customHeight="1" x14ac:dyDescent="1">
      <c r="B2" s="1" t="s">
        <v>0</v>
      </c>
    </row>
    <row r="4" spans="2:9" ht="19" customHeight="1" x14ac:dyDescent="0.25">
      <c r="B4" s="2" t="s">
        <v>1</v>
      </c>
    </row>
    <row r="8" spans="2:9" x14ac:dyDescent="0.2">
      <c r="B8" s="3" t="s">
        <v>2</v>
      </c>
    </row>
    <row r="10" spans="2:9" ht="31" customHeight="1" x14ac:dyDescent="0.35">
      <c r="B10" s="4" t="s">
        <v>3</v>
      </c>
    </row>
    <row r="12" spans="2:9" ht="16" customHeight="1" x14ac:dyDescent="0.2">
      <c r="B12" s="5" t="s">
        <v>4</v>
      </c>
    </row>
    <row r="15" spans="2:9" ht="16" customHeight="1" x14ac:dyDescent="0.2">
      <c r="B15" s="33" t="s">
        <v>48</v>
      </c>
      <c r="C15" s="49" t="s">
        <v>49</v>
      </c>
      <c r="D15" s="50"/>
      <c r="E15" s="50"/>
      <c r="F15" s="50"/>
      <c r="G15" s="50"/>
      <c r="H15" s="50"/>
      <c r="I15" s="50"/>
    </row>
    <row r="16" spans="2:9" ht="16" customHeight="1" x14ac:dyDescent="0.2">
      <c r="B16" s="33" t="s">
        <v>50</v>
      </c>
      <c r="C16" s="49" t="s">
        <v>51</v>
      </c>
      <c r="D16" s="50"/>
      <c r="E16" s="50"/>
      <c r="F16" s="50"/>
      <c r="G16" s="50"/>
      <c r="H16" s="50"/>
      <c r="I16" s="50"/>
    </row>
    <row r="17" spans="2:9" ht="16" customHeight="1" x14ac:dyDescent="0.2">
      <c r="B17" s="33" t="s">
        <v>52</v>
      </c>
      <c r="C17" s="49" t="s">
        <v>53</v>
      </c>
      <c r="D17" s="50"/>
      <c r="E17" s="50"/>
      <c r="F17" s="50"/>
      <c r="G17" s="50"/>
      <c r="H17" s="50"/>
      <c r="I17" s="50"/>
    </row>
    <row r="18" spans="2:9" ht="16" customHeight="1" x14ac:dyDescent="0.2">
      <c r="B18" s="33" t="s">
        <v>54</v>
      </c>
      <c r="C18" s="49" t="s">
        <v>55</v>
      </c>
      <c r="D18" s="50"/>
      <c r="E18" s="50"/>
      <c r="F18" s="50"/>
      <c r="G18" s="50"/>
      <c r="H18" s="50"/>
      <c r="I18" s="50"/>
    </row>
    <row r="19" spans="2:9" ht="16" customHeight="1" x14ac:dyDescent="0.2">
      <c r="B19" s="33" t="s">
        <v>56</v>
      </c>
      <c r="C19" s="49" t="s">
        <v>57</v>
      </c>
      <c r="D19" s="50"/>
      <c r="E19" s="50"/>
      <c r="F19" s="50"/>
      <c r="G19" s="50"/>
      <c r="H19" s="50"/>
      <c r="I19" s="50"/>
    </row>
  </sheetData>
  <mergeCells count="5">
    <mergeCell ref="C17:I17"/>
    <mergeCell ref="C15:I15"/>
    <mergeCell ref="C18:I18"/>
    <mergeCell ref="C19:I19"/>
    <mergeCell ref="C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>
      <selection activeCell="C6" sqref="C6"/>
    </sheetView>
  </sheetViews>
  <sheetFormatPr baseColWidth="10" defaultColWidth="8.83203125" defaultRowHeight="15" x14ac:dyDescent="0.2"/>
  <cols>
    <col min="1" max="1" width="2" customWidth="1"/>
    <col min="2" max="2" width="25" customWidth="1"/>
    <col min="3" max="3" width="60" customWidth="1"/>
  </cols>
  <sheetData>
    <row r="2" spans="2:3" ht="16" customHeight="1" x14ac:dyDescent="0.2">
      <c r="B2" s="7" t="s">
        <v>58</v>
      </c>
    </row>
    <row r="3" spans="2:3" x14ac:dyDescent="0.2">
      <c r="B3" s="8" t="s">
        <v>59</v>
      </c>
    </row>
    <row r="5" spans="2:3" ht="22" customHeight="1" x14ac:dyDescent="0.2">
      <c r="B5" s="9" t="s">
        <v>60</v>
      </c>
      <c r="C5" s="10">
        <v>20</v>
      </c>
    </row>
    <row r="6" spans="2:3" ht="67" customHeight="1" x14ac:dyDescent="0.2">
      <c r="B6" s="9" t="s">
        <v>61</v>
      </c>
      <c r="C6" s="10" t="s">
        <v>62</v>
      </c>
    </row>
    <row r="7" spans="2:3" ht="22" customHeight="1" x14ac:dyDescent="0.2">
      <c r="B7" s="9" t="s">
        <v>63</v>
      </c>
      <c r="C7" s="10" t="s">
        <v>64</v>
      </c>
    </row>
    <row r="8" spans="2:3" ht="22" customHeight="1" x14ac:dyDescent="0.2">
      <c r="B8" s="9" t="s">
        <v>65</v>
      </c>
      <c r="C8" s="10" t="s">
        <v>66</v>
      </c>
    </row>
    <row r="9" spans="2:3" ht="22" customHeight="1" x14ac:dyDescent="0.2">
      <c r="B9" s="9" t="s">
        <v>67</v>
      </c>
      <c r="C9" s="10" t="s">
        <v>68</v>
      </c>
    </row>
    <row r="10" spans="2:3" ht="22" customHeight="1" x14ac:dyDescent="0.2">
      <c r="B10" s="9" t="s">
        <v>69</v>
      </c>
      <c r="C10" s="10" t="s">
        <v>70</v>
      </c>
    </row>
    <row r="12" spans="2:3" x14ac:dyDescent="0.2">
      <c r="B12" s="11" t="s">
        <v>71</v>
      </c>
    </row>
    <row r="13" spans="2:3" x14ac:dyDescent="0.2">
      <c r="B13" s="6" t="s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showGridLines="0" tabSelected="1" zoomScale="75" zoomScaleNormal="75" workbookViewId="0">
      <pane ySplit="8" topLeftCell="A9" activePane="bottomLeft" state="frozen"/>
      <selection pane="bottomLeft" activeCell="F35" sqref="F35"/>
    </sheetView>
  </sheetViews>
  <sheetFormatPr baseColWidth="10" defaultColWidth="8.83203125" defaultRowHeight="15" x14ac:dyDescent="0.2"/>
  <cols>
    <col min="1" max="3" width="18" customWidth="1"/>
    <col min="4" max="4" width="16" customWidth="1"/>
    <col min="5" max="5" width="18" customWidth="1"/>
    <col min="6" max="6" width="42" customWidth="1"/>
    <col min="7" max="7" width="34" customWidth="1"/>
    <col min="8" max="8" width="28" customWidth="1"/>
  </cols>
  <sheetData>
    <row r="1" spans="1:8" ht="24" customHeight="1" x14ac:dyDescent="0.3">
      <c r="A1" s="12" t="s">
        <v>73</v>
      </c>
    </row>
    <row r="2" spans="1:8" x14ac:dyDescent="0.2">
      <c r="A2" s="8" t="s">
        <v>74</v>
      </c>
    </row>
    <row r="4" spans="1:8" x14ac:dyDescent="0.2">
      <c r="A4" s="3" t="s">
        <v>75</v>
      </c>
      <c r="B4" s="8" t="s">
        <v>76</v>
      </c>
    </row>
    <row r="5" spans="1:8" x14ac:dyDescent="0.2">
      <c r="A5" s="3" t="s">
        <v>77</v>
      </c>
      <c r="B5" s="8" t="s">
        <v>78</v>
      </c>
    </row>
    <row r="6" spans="1:8" x14ac:dyDescent="0.2">
      <c r="A6" s="13" t="s">
        <v>79</v>
      </c>
      <c r="B6" s="8" t="s">
        <v>80</v>
      </c>
    </row>
    <row r="7" spans="1:8" x14ac:dyDescent="0.2">
      <c r="A7" s="14" t="s">
        <v>81</v>
      </c>
      <c r="B7" s="8" t="s">
        <v>82</v>
      </c>
    </row>
    <row r="9" spans="1:8" ht="36" customHeight="1" x14ac:dyDescent="0.2">
      <c r="A9" s="15" t="s">
        <v>5</v>
      </c>
      <c r="B9" s="15" t="s">
        <v>6</v>
      </c>
      <c r="C9" s="15" t="s">
        <v>7</v>
      </c>
      <c r="D9" s="15" t="s">
        <v>8</v>
      </c>
      <c r="E9" s="15" t="s">
        <v>9</v>
      </c>
      <c r="F9" s="15" t="s">
        <v>10</v>
      </c>
      <c r="G9" s="15" t="s">
        <v>11</v>
      </c>
      <c r="H9" s="15" t="s">
        <v>12</v>
      </c>
    </row>
    <row r="10" spans="1:8" ht="45" customHeight="1" x14ac:dyDescent="0.2">
      <c r="A10" s="34" t="s">
        <v>13</v>
      </c>
      <c r="B10" s="16" t="s">
        <v>14</v>
      </c>
      <c r="C10" s="16" t="s">
        <v>15</v>
      </c>
      <c r="D10" s="17">
        <v>24.5</v>
      </c>
      <c r="E10" s="17" t="s">
        <v>16</v>
      </c>
      <c r="F10" s="16" t="s">
        <v>83</v>
      </c>
      <c r="G10" s="16" t="s">
        <v>16</v>
      </c>
      <c r="H10" s="16" t="s">
        <v>17</v>
      </c>
    </row>
    <row r="11" spans="1:8" ht="45" customHeight="1" x14ac:dyDescent="0.2">
      <c r="A11" s="35" t="s">
        <v>18</v>
      </c>
      <c r="B11" s="18" t="s">
        <v>19</v>
      </c>
      <c r="C11" s="18" t="s">
        <v>20</v>
      </c>
      <c r="D11" s="19">
        <v>28</v>
      </c>
      <c r="E11" s="19" t="s">
        <v>84</v>
      </c>
      <c r="F11" s="18" t="s">
        <v>85</v>
      </c>
      <c r="G11" s="18" t="s">
        <v>86</v>
      </c>
      <c r="H11" s="18" t="s">
        <v>29</v>
      </c>
    </row>
    <row r="12" spans="1:8" ht="44" customHeight="1" x14ac:dyDescent="0.2">
      <c r="A12" s="36" t="s">
        <v>22</v>
      </c>
      <c r="B12" s="20" t="s">
        <v>23</v>
      </c>
      <c r="C12" s="20" t="s">
        <v>24</v>
      </c>
      <c r="D12" s="21">
        <v>24.5</v>
      </c>
      <c r="E12" s="21" t="s">
        <v>21</v>
      </c>
      <c r="F12" s="20" t="s">
        <v>87</v>
      </c>
      <c r="G12" s="20" t="s">
        <v>25</v>
      </c>
      <c r="H12" s="20" t="s">
        <v>26</v>
      </c>
    </row>
    <row r="13" spans="1:8" ht="44" customHeight="1" x14ac:dyDescent="0.2">
      <c r="A13" s="35" t="s">
        <v>27</v>
      </c>
      <c r="B13" s="18" t="s">
        <v>28</v>
      </c>
      <c r="C13" s="18" t="s">
        <v>20</v>
      </c>
      <c r="D13" s="19">
        <v>28</v>
      </c>
      <c r="E13" s="19" t="s">
        <v>84</v>
      </c>
      <c r="F13" s="18" t="s">
        <v>88</v>
      </c>
      <c r="G13" s="18" t="s">
        <v>89</v>
      </c>
      <c r="H13" s="18" t="s">
        <v>29</v>
      </c>
    </row>
    <row r="14" spans="1:8" ht="43" customHeight="1" x14ac:dyDescent="0.2">
      <c r="A14" s="36" t="s">
        <v>30</v>
      </c>
      <c r="B14" s="20" t="s">
        <v>31</v>
      </c>
      <c r="C14" s="20" t="s">
        <v>24</v>
      </c>
      <c r="D14" s="21">
        <v>24.5</v>
      </c>
      <c r="E14" s="21" t="s">
        <v>21</v>
      </c>
      <c r="F14" s="20" t="s">
        <v>90</v>
      </c>
      <c r="G14" s="20" t="s">
        <v>91</v>
      </c>
      <c r="H14" s="20" t="s">
        <v>32</v>
      </c>
    </row>
    <row r="15" spans="1:8" ht="43" customHeight="1" x14ac:dyDescent="0.2">
      <c r="A15" s="37" t="s">
        <v>33</v>
      </c>
      <c r="B15" s="22" t="s">
        <v>34</v>
      </c>
      <c r="C15" s="22" t="s">
        <v>20</v>
      </c>
      <c r="D15" s="23">
        <v>28</v>
      </c>
      <c r="E15" s="23" t="s">
        <v>21</v>
      </c>
      <c r="F15" s="22" t="s">
        <v>92</v>
      </c>
      <c r="G15" s="22" t="s">
        <v>160</v>
      </c>
      <c r="H15" s="22" t="s">
        <v>93</v>
      </c>
    </row>
    <row r="16" spans="1:8" ht="43" customHeight="1" x14ac:dyDescent="0.2">
      <c r="A16" s="36" t="s">
        <v>35</v>
      </c>
      <c r="B16" s="20" t="s">
        <v>36</v>
      </c>
      <c r="C16" s="20" t="s">
        <v>24</v>
      </c>
      <c r="D16" s="21">
        <v>24.5</v>
      </c>
      <c r="E16" s="21" t="s">
        <v>37</v>
      </c>
      <c r="F16" s="20" t="s">
        <v>94</v>
      </c>
      <c r="G16" s="20" t="s">
        <v>159</v>
      </c>
      <c r="H16" s="20" t="s">
        <v>38</v>
      </c>
    </row>
    <row r="17" spans="1:8" ht="43" customHeight="1" x14ac:dyDescent="0.2">
      <c r="A17" s="37" t="s">
        <v>39</v>
      </c>
      <c r="B17" s="22" t="s">
        <v>40</v>
      </c>
      <c r="C17" s="22" t="s">
        <v>41</v>
      </c>
      <c r="D17" s="23">
        <v>21</v>
      </c>
      <c r="E17" s="23" t="s">
        <v>42</v>
      </c>
      <c r="F17" s="22" t="s">
        <v>95</v>
      </c>
      <c r="G17" s="22" t="s">
        <v>157</v>
      </c>
      <c r="H17" s="22" t="s">
        <v>43</v>
      </c>
    </row>
    <row r="18" spans="1:8" ht="50" customHeight="1" x14ac:dyDescent="0.2">
      <c r="A18" s="38" t="s">
        <v>44</v>
      </c>
      <c r="B18" s="24" t="s">
        <v>45</v>
      </c>
      <c r="C18" s="24" t="s">
        <v>46</v>
      </c>
      <c r="D18" s="25" t="s">
        <v>16</v>
      </c>
      <c r="E18" s="25" t="s">
        <v>16</v>
      </c>
      <c r="F18" s="24" t="s">
        <v>96</v>
      </c>
      <c r="G18" s="24" t="s">
        <v>158</v>
      </c>
      <c r="H18" s="24" t="s">
        <v>97</v>
      </c>
    </row>
    <row r="19" spans="1:8" ht="43" customHeight="1" x14ac:dyDescent="0.2">
      <c r="A19" s="39" t="s">
        <v>47</v>
      </c>
      <c r="B19" s="26"/>
      <c r="C19" s="26"/>
      <c r="D19" s="39">
        <v>203</v>
      </c>
      <c r="E19" s="39" t="s">
        <v>98</v>
      </c>
      <c r="F19" s="27" t="s">
        <v>99</v>
      </c>
      <c r="G19" s="26"/>
      <c r="H19" s="26"/>
    </row>
    <row r="21" spans="1:8" x14ac:dyDescent="0.2">
      <c r="A21" s="3" t="s">
        <v>100</v>
      </c>
    </row>
    <row r="22" spans="1:8" x14ac:dyDescent="0.2">
      <c r="A22" s="28" t="s">
        <v>50</v>
      </c>
      <c r="B22" s="8" t="s">
        <v>101</v>
      </c>
    </row>
    <row r="23" spans="1:8" x14ac:dyDescent="0.2">
      <c r="A23" s="29" t="s">
        <v>52</v>
      </c>
      <c r="B23" s="8" t="s">
        <v>102</v>
      </c>
    </row>
    <row r="24" spans="1:8" x14ac:dyDescent="0.2">
      <c r="A24" s="30" t="s">
        <v>54</v>
      </c>
      <c r="B24" s="8" t="s">
        <v>103</v>
      </c>
    </row>
    <row r="25" spans="1:8" x14ac:dyDescent="0.2">
      <c r="A25" s="31" t="s">
        <v>56</v>
      </c>
      <c r="B25" s="8" t="s">
        <v>104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8"/>
  <sheetViews>
    <sheetView showGridLines="0" zoomScale="63" zoomScaleNormal="63" workbookViewId="0">
      <selection activeCell="D10" sqref="D10"/>
    </sheetView>
  </sheetViews>
  <sheetFormatPr baseColWidth="10" defaultColWidth="8.83203125" defaultRowHeight="15" x14ac:dyDescent="0.2"/>
  <cols>
    <col min="1" max="1" width="32" customWidth="1"/>
    <col min="2" max="2" width="16" customWidth="1"/>
    <col min="3" max="5" width="17" customWidth="1"/>
    <col min="6" max="6" width="50" customWidth="1"/>
    <col min="7" max="7" width="3" customWidth="1"/>
    <col min="8" max="12" width="15" customWidth="1"/>
  </cols>
  <sheetData>
    <row r="1" spans="1:12" ht="28" customHeight="1" x14ac:dyDescent="0.2">
      <c r="A1" s="51" t="s">
        <v>105</v>
      </c>
      <c r="B1" s="52"/>
      <c r="C1" s="52"/>
      <c r="D1" s="52"/>
      <c r="E1" s="52"/>
      <c r="F1" s="52"/>
      <c r="G1" s="41"/>
      <c r="H1" s="41"/>
      <c r="I1" s="41"/>
      <c r="J1" s="41"/>
      <c r="K1" s="41"/>
      <c r="L1" s="41"/>
    </row>
    <row r="2" spans="1:12" ht="22" customHeight="1" x14ac:dyDescent="0.2">
      <c r="A2" s="56" t="s">
        <v>106</v>
      </c>
      <c r="B2" s="52"/>
      <c r="C2" s="52"/>
      <c r="D2" s="52"/>
      <c r="E2" s="52"/>
      <c r="F2" s="52"/>
      <c r="G2" s="41"/>
      <c r="H2" s="41"/>
      <c r="I2" s="41"/>
      <c r="J2" s="41"/>
      <c r="K2" s="41"/>
      <c r="L2" s="41"/>
    </row>
    <row r="3" spans="1:12" ht="22" customHeight="1" x14ac:dyDescent="0.2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2" ht="34" customHeight="1" x14ac:dyDescent="0.2">
      <c r="A4" s="42" t="s">
        <v>107</v>
      </c>
      <c r="B4" s="53" t="s">
        <v>108</v>
      </c>
      <c r="C4" s="52"/>
      <c r="D4" s="52"/>
      <c r="E4" s="52"/>
      <c r="F4" s="52"/>
      <c r="G4" s="41"/>
      <c r="H4" s="41"/>
      <c r="I4" s="41"/>
      <c r="J4" s="41"/>
      <c r="K4" s="41"/>
      <c r="L4" s="41"/>
    </row>
    <row r="5" spans="1:12" ht="34" customHeight="1" x14ac:dyDescent="0.2">
      <c r="A5" s="42" t="s">
        <v>109</v>
      </c>
      <c r="B5" s="53" t="s">
        <v>110</v>
      </c>
      <c r="C5" s="52"/>
      <c r="D5" s="52"/>
      <c r="E5" s="52"/>
      <c r="F5" s="52"/>
      <c r="G5" s="41"/>
      <c r="H5" s="41"/>
      <c r="I5" s="41"/>
      <c r="J5" s="41"/>
      <c r="K5" s="41"/>
      <c r="L5" s="41"/>
    </row>
    <row r="6" spans="1:12" ht="34" customHeight="1" x14ac:dyDescent="0.2">
      <c r="A6" s="42" t="s">
        <v>111</v>
      </c>
      <c r="B6" s="53" t="s">
        <v>112</v>
      </c>
      <c r="C6" s="52"/>
      <c r="D6" s="52"/>
      <c r="E6" s="52"/>
      <c r="F6" s="52"/>
      <c r="G6" s="41"/>
      <c r="H6" s="41"/>
      <c r="I6" s="41"/>
      <c r="J6" s="41"/>
      <c r="K6" s="41"/>
      <c r="L6" s="41"/>
    </row>
    <row r="7" spans="1:12" ht="22" customHeight="1" x14ac:dyDescent="0.2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</row>
    <row r="8" spans="1:12" ht="22" customHeight="1" x14ac:dyDescent="0.2">
      <c r="A8" s="43" t="s">
        <v>5</v>
      </c>
      <c r="B8" s="43" t="s">
        <v>113</v>
      </c>
      <c r="C8" s="43" t="s">
        <v>114</v>
      </c>
      <c r="D8" s="43" t="s">
        <v>115</v>
      </c>
      <c r="E8" s="43" t="s">
        <v>116</v>
      </c>
      <c r="F8" s="43" t="s">
        <v>117</v>
      </c>
      <c r="G8" s="41"/>
      <c r="H8" s="41"/>
      <c r="I8" s="41"/>
      <c r="J8" s="41"/>
      <c r="K8" s="41"/>
      <c r="L8" s="41"/>
    </row>
    <row r="9" spans="1:12" ht="36" customHeight="1" x14ac:dyDescent="0.2">
      <c r="A9" s="44" t="s">
        <v>118</v>
      </c>
      <c r="B9" s="44" t="s">
        <v>119</v>
      </c>
      <c r="C9" s="45">
        <v>0</v>
      </c>
      <c r="D9" s="45">
        <v>0</v>
      </c>
      <c r="E9" s="45">
        <v>56</v>
      </c>
      <c r="F9" s="44" t="s">
        <v>120</v>
      </c>
      <c r="G9" s="41"/>
      <c r="H9" s="41"/>
      <c r="I9" s="41"/>
      <c r="J9" s="41"/>
      <c r="K9" s="41"/>
      <c r="L9" s="41"/>
    </row>
    <row r="10" spans="1:12" ht="36" customHeight="1" x14ac:dyDescent="0.2">
      <c r="A10" s="46" t="s">
        <v>18</v>
      </c>
      <c r="B10" s="46" t="s">
        <v>121</v>
      </c>
      <c r="C10" s="47">
        <v>8</v>
      </c>
      <c r="D10" s="47"/>
      <c r="E10" s="47">
        <v>64</v>
      </c>
      <c r="F10" s="46" t="s">
        <v>122</v>
      </c>
      <c r="G10" s="41"/>
      <c r="H10" s="41"/>
      <c r="I10" s="41"/>
      <c r="J10" s="41"/>
      <c r="K10" s="41"/>
      <c r="L10" s="41"/>
    </row>
    <row r="11" spans="1:12" ht="36" customHeight="1" x14ac:dyDescent="0.2">
      <c r="A11" s="44" t="s">
        <v>22</v>
      </c>
      <c r="B11" s="44" t="s">
        <v>123</v>
      </c>
      <c r="C11" s="45">
        <v>16</v>
      </c>
      <c r="D11" s="45"/>
      <c r="E11" s="45">
        <v>64</v>
      </c>
      <c r="F11" s="44" t="s">
        <v>124</v>
      </c>
      <c r="G11" s="41"/>
      <c r="H11" s="41"/>
      <c r="I11" s="41"/>
      <c r="J11" s="41"/>
      <c r="K11" s="41"/>
      <c r="L11" s="41"/>
    </row>
    <row r="12" spans="1:12" ht="36" customHeight="1" x14ac:dyDescent="0.2">
      <c r="A12" s="46" t="s">
        <v>27</v>
      </c>
      <c r="B12" s="46" t="s">
        <v>125</v>
      </c>
      <c r="C12" s="47">
        <v>22</v>
      </c>
      <c r="D12" s="47"/>
      <c r="E12" s="47">
        <v>64</v>
      </c>
      <c r="F12" s="46" t="s">
        <v>126</v>
      </c>
      <c r="G12" s="41"/>
      <c r="H12" s="41"/>
      <c r="I12" s="41"/>
      <c r="J12" s="41"/>
      <c r="K12" s="41"/>
      <c r="L12" s="41"/>
    </row>
    <row r="13" spans="1:12" ht="36" customHeight="1" x14ac:dyDescent="0.2">
      <c r="A13" s="44" t="s">
        <v>30</v>
      </c>
      <c r="B13" s="44" t="s">
        <v>127</v>
      </c>
      <c r="C13" s="45">
        <v>25</v>
      </c>
      <c r="D13" s="45"/>
      <c r="E13" s="45">
        <v>64</v>
      </c>
      <c r="F13" s="44" t="s">
        <v>128</v>
      </c>
      <c r="G13" s="41"/>
      <c r="H13" s="41"/>
      <c r="I13" s="41"/>
      <c r="J13" s="41"/>
      <c r="K13" s="41"/>
      <c r="L13" s="41"/>
    </row>
    <row r="14" spans="1:12" ht="36" customHeight="1" x14ac:dyDescent="0.2">
      <c r="A14" s="46" t="s">
        <v>33</v>
      </c>
      <c r="B14" s="46" t="s">
        <v>129</v>
      </c>
      <c r="C14" s="47">
        <v>30</v>
      </c>
      <c r="D14" s="47"/>
      <c r="E14" s="47">
        <v>64</v>
      </c>
      <c r="F14" s="46" t="s">
        <v>130</v>
      </c>
      <c r="G14" s="41"/>
      <c r="H14" s="41"/>
      <c r="I14" s="41"/>
      <c r="J14" s="41"/>
      <c r="K14" s="41"/>
      <c r="L14" s="41"/>
    </row>
    <row r="15" spans="1:12" ht="36" customHeight="1" x14ac:dyDescent="0.2">
      <c r="A15" s="44" t="s">
        <v>35</v>
      </c>
      <c r="B15" s="44" t="s">
        <v>131</v>
      </c>
      <c r="C15" s="45">
        <v>38</v>
      </c>
      <c r="D15" s="45"/>
      <c r="E15" s="45">
        <v>64</v>
      </c>
      <c r="F15" s="44" t="s">
        <v>132</v>
      </c>
      <c r="G15" s="41"/>
      <c r="H15" s="41"/>
      <c r="I15" s="41"/>
      <c r="J15" s="41"/>
      <c r="K15" s="41"/>
      <c r="L15" s="41"/>
    </row>
    <row r="16" spans="1:12" ht="36" customHeight="1" x14ac:dyDescent="0.2">
      <c r="A16" s="46" t="s">
        <v>39</v>
      </c>
      <c r="B16" s="46" t="s">
        <v>133</v>
      </c>
      <c r="C16" s="47">
        <v>46</v>
      </c>
      <c r="D16" s="47"/>
      <c r="E16" s="47">
        <v>64</v>
      </c>
      <c r="F16" s="46" t="s">
        <v>134</v>
      </c>
      <c r="G16" s="41"/>
      <c r="H16" s="41"/>
      <c r="I16" s="41"/>
      <c r="J16" s="41"/>
      <c r="K16" s="41"/>
      <c r="L16" s="41"/>
    </row>
    <row r="17" spans="1:12" ht="22" customHeight="1" x14ac:dyDescent="0.2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</row>
    <row r="18" spans="1:12" ht="22" customHeight="1" x14ac:dyDescent="0.2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</row>
    <row r="19" spans="1:12" ht="46" customHeight="1" x14ac:dyDescent="0.2">
      <c r="A19" s="48" t="s">
        <v>135</v>
      </c>
      <c r="B19" s="54" t="s">
        <v>136</v>
      </c>
      <c r="C19" s="55"/>
      <c r="D19" s="55"/>
      <c r="E19" s="55"/>
      <c r="F19" s="55"/>
      <c r="G19" s="41"/>
      <c r="H19" s="41"/>
      <c r="I19" s="41"/>
      <c r="J19" s="41"/>
      <c r="K19" s="41"/>
      <c r="L19" s="41"/>
    </row>
    <row r="20" spans="1:12" ht="46" customHeight="1" x14ac:dyDescent="0.2">
      <c r="A20" s="48" t="s">
        <v>137</v>
      </c>
      <c r="B20" s="54" t="s">
        <v>138</v>
      </c>
      <c r="C20" s="55"/>
      <c r="D20" s="55"/>
      <c r="E20" s="55"/>
      <c r="F20" s="55"/>
      <c r="G20" s="41"/>
      <c r="H20" s="41"/>
      <c r="I20" s="41"/>
      <c r="J20" s="41"/>
      <c r="K20" s="41"/>
      <c r="L20" s="41"/>
    </row>
    <row r="21" spans="1:12" ht="46" customHeight="1" x14ac:dyDescent="0.2">
      <c r="A21" s="48" t="s">
        <v>139</v>
      </c>
      <c r="B21" s="54" t="s">
        <v>140</v>
      </c>
      <c r="C21" s="55"/>
      <c r="D21" s="55"/>
      <c r="E21" s="55"/>
      <c r="F21" s="55"/>
      <c r="G21" s="41"/>
      <c r="H21" s="41"/>
      <c r="I21" s="41"/>
      <c r="J21" s="41"/>
      <c r="K21" s="41"/>
      <c r="L21" s="41"/>
    </row>
    <row r="22" spans="1:12" ht="22" customHeight="1" x14ac:dyDescent="0.2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</row>
    <row r="23" spans="1:12" ht="24" x14ac:dyDescent="0.3">
      <c r="A23" s="40"/>
      <c r="B23" s="40"/>
      <c r="C23" s="40"/>
      <c r="D23" s="40"/>
      <c r="E23" s="40"/>
      <c r="F23" s="40"/>
      <c r="G23" s="40"/>
      <c r="H23" s="40"/>
    </row>
    <row r="24" spans="1:12" ht="24" x14ac:dyDescent="0.3">
      <c r="A24" s="40"/>
      <c r="B24" s="40"/>
      <c r="C24" s="40"/>
      <c r="D24" s="40"/>
      <c r="E24" s="40"/>
      <c r="F24" s="40"/>
      <c r="G24" s="40"/>
      <c r="H24" s="40"/>
    </row>
    <row r="25" spans="1:12" ht="24" x14ac:dyDescent="0.3">
      <c r="A25" s="40"/>
      <c r="B25" s="40"/>
      <c r="C25" s="40"/>
      <c r="D25" s="40"/>
      <c r="E25" s="40"/>
      <c r="F25" s="40"/>
      <c r="G25" s="40"/>
      <c r="H25" s="40"/>
    </row>
    <row r="26" spans="1:12" ht="24" x14ac:dyDescent="0.3">
      <c r="A26" s="40"/>
      <c r="B26" s="40"/>
      <c r="C26" s="40"/>
      <c r="D26" s="40"/>
      <c r="E26" s="40"/>
      <c r="F26" s="40"/>
      <c r="G26" s="40"/>
      <c r="H26" s="40"/>
    </row>
    <row r="27" spans="1:12" ht="24" x14ac:dyDescent="0.3">
      <c r="A27" s="40"/>
      <c r="B27" s="40"/>
      <c r="C27" s="40"/>
      <c r="D27" s="40"/>
      <c r="E27" s="40"/>
      <c r="F27" s="40"/>
      <c r="G27" s="40"/>
      <c r="H27" s="40"/>
    </row>
    <row r="28" spans="1:12" ht="24" x14ac:dyDescent="0.3">
      <c r="A28" s="40"/>
      <c r="B28" s="40"/>
      <c r="C28" s="40"/>
      <c r="D28" s="40"/>
      <c r="E28" s="40"/>
      <c r="F28" s="40"/>
      <c r="G28" s="40"/>
      <c r="H28" s="40"/>
    </row>
  </sheetData>
  <mergeCells count="8">
    <mergeCell ref="B21:F21"/>
    <mergeCell ref="B6:F6"/>
    <mergeCell ref="B20:F20"/>
    <mergeCell ref="A1:F1"/>
    <mergeCell ref="B5:F5"/>
    <mergeCell ref="B19:F19"/>
    <mergeCell ref="B4:F4"/>
    <mergeCell ref="A2:F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4"/>
  <sheetViews>
    <sheetView showGridLines="0" topLeftCell="A2" workbookViewId="0">
      <selection activeCell="C14" sqref="C14"/>
    </sheetView>
  </sheetViews>
  <sheetFormatPr baseColWidth="10" defaultColWidth="8.83203125" defaultRowHeight="15" x14ac:dyDescent="0.2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9" customHeight="1" x14ac:dyDescent="0.25">
      <c r="B2" s="2" t="s">
        <v>141</v>
      </c>
    </row>
    <row r="3" spans="1:4" x14ac:dyDescent="0.2">
      <c r="B3" s="8" t="s">
        <v>142</v>
      </c>
    </row>
    <row r="5" spans="1:4" ht="16" customHeight="1" x14ac:dyDescent="0.2">
      <c r="A5" s="15"/>
      <c r="B5" s="15" t="s">
        <v>143</v>
      </c>
      <c r="C5" s="15" t="s">
        <v>144</v>
      </c>
      <c r="D5" t="s">
        <v>145</v>
      </c>
    </row>
    <row r="6" spans="1:4" ht="30" customHeight="1" x14ac:dyDescent="0.2">
      <c r="B6" s="32" t="s">
        <v>146</v>
      </c>
      <c r="C6" s="32" t="s">
        <v>147</v>
      </c>
      <c r="D6" s="32"/>
    </row>
    <row r="7" spans="1:4" ht="30" customHeight="1" x14ac:dyDescent="0.2">
      <c r="B7" s="32" t="s">
        <v>146</v>
      </c>
      <c r="C7" s="32" t="s">
        <v>148</v>
      </c>
      <c r="D7" s="32"/>
    </row>
    <row r="8" spans="1:4" ht="30" customHeight="1" x14ac:dyDescent="0.2">
      <c r="B8" s="32" t="s">
        <v>146</v>
      </c>
      <c r="C8" s="32" t="s">
        <v>149</v>
      </c>
      <c r="D8" s="32"/>
    </row>
    <row r="9" spans="1:4" ht="30" customHeight="1" x14ac:dyDescent="0.2">
      <c r="B9" s="32" t="s">
        <v>146</v>
      </c>
      <c r="C9" s="32" t="s">
        <v>150</v>
      </c>
      <c r="D9" s="32"/>
    </row>
    <row r="10" spans="1:4" ht="30" customHeight="1" x14ac:dyDescent="0.2">
      <c r="B10" s="32" t="s">
        <v>146</v>
      </c>
      <c r="C10" s="32" t="s">
        <v>151</v>
      </c>
      <c r="D10" s="32"/>
    </row>
    <row r="11" spans="1:4" ht="30" customHeight="1" x14ac:dyDescent="0.2">
      <c r="B11" s="32" t="s">
        <v>146</v>
      </c>
      <c r="C11" s="32" t="s">
        <v>152</v>
      </c>
      <c r="D11" s="32"/>
    </row>
    <row r="12" spans="1:4" ht="30" customHeight="1" x14ac:dyDescent="0.2">
      <c r="B12" s="32" t="s">
        <v>146</v>
      </c>
      <c r="C12" s="32" t="s">
        <v>153</v>
      </c>
      <c r="D12" s="32"/>
    </row>
    <row r="13" spans="1:4" ht="30" customHeight="1" x14ac:dyDescent="0.2">
      <c r="B13" s="32" t="s">
        <v>146</v>
      </c>
      <c r="C13" s="32" t="s">
        <v>154</v>
      </c>
      <c r="D13" s="32"/>
    </row>
    <row r="14" spans="1:4" ht="30" customHeight="1" x14ac:dyDescent="0.2">
      <c r="B14" s="32" t="s">
        <v>155</v>
      </c>
      <c r="C14" s="32" t="s">
        <v>156</v>
      </c>
      <c r="D14" s="3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Release Planning</vt:lpstr>
      <vt:lpstr>Burnup global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Binti-Warda MOUZDA</cp:lastModifiedBy>
  <dcterms:created xsi:type="dcterms:W3CDTF">2026-06-25T22:39:08Z</dcterms:created>
  <dcterms:modified xsi:type="dcterms:W3CDTF">2026-07-01T08:46:55Z</dcterms:modified>
</cp:coreProperties>
</file>