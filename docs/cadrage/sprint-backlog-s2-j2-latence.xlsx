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klih\Downloads\"/>
    </mc:Choice>
  </mc:AlternateContent>
  <xr:revisionPtr revIDLastSave="0" documentId="13_ncr:1_{8FD2E339-C182-4197-95C7-9072615A28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arde" sheetId="1" r:id="rId1"/>
    <sheet name="Identification" sheetId="2" r:id="rId2"/>
    <sheet name="Sprint 2" sheetId="3" r:id="rId3"/>
    <sheet name="Burndown Sprint 2" sheetId="4" r:id="rId4"/>
    <sheet name="Auto-évalu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E35" i="3"/>
</calcChain>
</file>

<file path=xl/sharedStrings.xml><?xml version="1.0" encoding="utf-8"?>
<sst xmlns="http://schemas.openxmlformats.org/spreadsheetml/2006/main" count="249" uniqueCount="195">
  <si>
    <t>A</t>
  </si>
  <si>
    <t>APOCAL'IPSSI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</si>
  <si>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</si>
  <si>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</si>
  <si>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</si>
  <si>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</si>
  <si>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</si>
  <si>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20</t>
  </si>
  <si>
    <t>Membres</t>
  </si>
  <si>
    <t>Antunes Adrien, Akli Hocine, Thibault LECHANTRE, Atallah Joud, Binti-Warda MOUZDA, Mohammed MOSLEH, Alexis RODRIGUES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</si>
  <si>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</si>
  <si>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</si>
  <si>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</si>
  <si>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</si>
  <si>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</si>
  <si>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</si>
  <si>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</si>
  <si>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</si>
  <si>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</si>
  <si>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</si>
  <si>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</si>
  <si>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PERTURBATION J2 · ARTEFACT TECHNIQUE</t>
  </si>
  <si>
    <t>Sprint Backlog mis à jour</t>
  </si>
  <si>
    <t>Décomposition technique du Sprint 2 après perturbation latence LLM</t>
  </si>
  <si>
    <t>Sprint 2 · Perturbation J2 technique · Latence LLM</t>
  </si>
  <si>
    <t>v2.0</t>
  </si>
  <si>
    <t>30/06/2026 · après perturbation J2 10h00</t>
  </si>
  <si>
    <t>Draft · benchmark + ADR réalisés · sprint replanifié</t>
  </si>
  <si>
    <t>SPRINT BACKLOG : SPRINT 2 — J2 LATENCE LLM</t>
  </si>
  <si>
    <t>Mardi 30/06/2026 · perturbation publiée à 10h00 · objectif : génération quiz ≤ 15s sur cours de référence</t>
  </si>
  <si>
    <t>📋 MÉTADONNÉES DU SPRINT</t>
  </si>
  <si>
    <t>Numéro de sprint</t>
  </si>
  <si>
    <t>Sprint 2</t>
  </si>
  <si>
    <t>Date</t>
  </si>
  <si>
    <t>Mardi 30/06/2026 · re-planning après J2 à 10h00</t>
  </si>
  <si>
    <t>Équipe (n personnes)</t>
  </si>
  <si>
    <t>7 personnes</t>
  </si>
  <si>
    <t>Capacité totale</t>
  </si>
  <si>
    <t>7 × 4 h = 28 h-pers</t>
  </si>
  <si>
    <t>Vélocité cible (SP)</t>
  </si>
  <si>
    <t>US-03 réestimée 8 → 10 SP + spike technique J2 rattaché</t>
  </si>
  <si>
    <t>Objectif sprint</t>
  </si>
  <si>
    <t>Rendre la génération de quiz utilisable : p50/p95 mesurés et temps post-action ≤ 15s</t>
  </si>
  <si>
    <t>Scrum Master</t>
  </si>
  <si>
    <t>À compléter</t>
  </si>
  <si>
    <t>Product Owner</t>
  </si>
  <si>
    <t>Mohamed EL AFRIT / PO projet</t>
  </si>
  <si>
    <t>💡 OBJECTIF</t>
  </si>
  <si>
    <t>Mettre à jour le sprint backlog après perturbation J2 : benchmark, ADR, bascule modèle, re-estimation et preuve de performance.</t>
  </si>
  <si>
    <t>📐 FORMAT</t>
  </si>
  <si>
    <t>Tâches techniques fines en heures. Les tâches déjà réalisées benchmark/ADR restent visibles en Done pour tracer l'impact.</t>
  </si>
  <si>
    <t>✅ BON</t>
  </si>
  <si>
    <t>« T-J2.4 Exécuter 5 runs × 2 modèles alternatifs sur le même cours · p50/p95 mesurés · Assigné · Estimé »</t>
  </si>
  <si>
    <t>❌ À ÉVITER</t>
  </si>
  <si>
    <t>« Optimiser l'IA » sans protocole, sans mesure avant/après, sans ADR ni re-estimation.</t>
  </si>
  <si>
    <t>US</t>
  </si>
  <si>
    <t>ID tâche</t>
  </si>
  <si>
    <t>Tâche technique</t>
  </si>
  <si>
    <t>Assigné</t>
  </si>
  <si>
    <t>Estim. (h)</t>
  </si>
  <si>
    <t>Restant (h)</t>
  </si>
  <si>
    <t>J2-Tech</t>
  </si>
  <si>
    <t>T-J2.1</t>
  </si>
  <si>
    <t>Formaliser le protocole benchmark : 5 runs × 3 modèles, même cours, même machine, mêmes métriques</t>
  </si>
  <si>
    <t>Antunes Adrien</t>
  </si>
  <si>
    <t>Done</t>
  </si>
  <si>
    <t>T-J2.2</t>
  </si>
  <si>
    <t>Préparer le cours de référence + script de mesure latence p50/p95 + collecte RAM/disque/GPU</t>
  </si>
  <si>
    <t>Akli Hocine</t>
  </si>
  <si>
    <t>T-J2.3</t>
  </si>
  <si>
    <t>Mesurer le modèle actuel sur 5 runs et documenter la latence constatée</t>
  </si>
  <si>
    <t>Thibault LECHANTRE</t>
  </si>
  <si>
    <t>T-J2.4</t>
  </si>
  <si>
    <t>Mesurer les 2 modèles alternatifs sur 5 runs chacun et noter qualité subjective /5</t>
  </si>
  <si>
    <t>Atallah Joud</t>
  </si>
  <si>
    <t>T-J2.5</t>
  </si>
  <si>
    <t>Consolider le tableau benchmark : p50, p95, qualité, RAM/disque/GPU et verdict</t>
  </si>
  <si>
    <t>Binti-Warda MOUZDA</t>
  </si>
  <si>
    <t>T-J2.6</t>
  </si>
  <si>
    <t>Rédiger l'ADR-0003 : contexte, options, décision, conséquences, KPI post-décision</t>
  </si>
  <si>
    <t>Mohammed MOSLEH</t>
  </si>
  <si>
    <t>US-03</t>
  </si>
  <si>
    <t>T-03.1</t>
  </si>
  <si>
    <t>Créer une interface provider LLM configurable pour pouvoir basculer de modèle sans casser l'API</t>
  </si>
  <si>
    <t>Todo</t>
  </si>
  <si>
    <t>T-03.2</t>
  </si>
  <si>
    <t>Intégrer le modèle retenu par l'ADR et configurer les variables d'environnement / chemins modèle</t>
  </si>
  <si>
    <t>T-03.3</t>
  </si>
  <si>
    <t>Adapter le prompt de génération : 10 QCM, JSON strict, limite tokens, température contrôlée</t>
  </si>
  <si>
    <t>T-03.4</t>
  </si>
  <si>
    <t>Implémenter / ajuster l'endpoint de génération quiz avec timeout, gestion erreur et logs de latence</t>
  </si>
  <si>
    <t>T-03.5</t>
  </si>
  <si>
    <t>Ajouter côté front un état de chargement clair + message « génération en cours » pour éviter l'effet site cassé</t>
  </si>
  <si>
    <t>Alexis RODRIGUES</t>
  </si>
  <si>
    <t>T-03.6</t>
  </si>
  <si>
    <t>Tester la génération de 10 questions : structure JSON, qualité minimale, non-régression upload → génération</t>
  </si>
  <si>
    <t>T-03.7</t>
  </si>
  <si>
    <t>Mesurer après bascule sur le même cours : p50/p95 et validation du seuil ≤ 15s</t>
  </si>
  <si>
    <t>Sprint</t>
  </si>
  <si>
    <t>T-REV.1</t>
  </si>
  <si>
    <t>Préparer la démonstration PO : avant/après latence + quiz généré + lien ADR/benchmark</t>
  </si>
  <si>
    <t>Akli Hocine / Alexis RODRIGUES</t>
  </si>
  <si>
    <t>T-REV.2</t>
  </si>
  <si>
    <t>Mettre à jour README / journal de décision et committer le code ou la justification de non-bascule</t>
  </si>
  <si>
    <t>TOTAL</t>
  </si>
  <si>
    <t>28 h estimées · Sprint 2 replanifié après J2</t>
  </si>
  <si>
    <t>🔁 RE-ESTIMATION DES STORIES IMPACTÉES</t>
  </si>
  <si>
    <t>Story</t>
  </si>
  <si>
    <t>Avant J2</t>
  </si>
  <si>
    <t>Après J2</t>
  </si>
  <si>
    <t>Écart</t>
  </si>
  <si>
    <t>Pourquoi</t>
  </si>
  <si>
    <t>Décision sprint</t>
  </si>
  <si>
    <t>Trace</t>
  </si>
  <si>
    <t>US-03 · Génération 10 QCM</t>
  </si>
  <si>
    <t>8 SP</t>
  </si>
  <si>
    <t>10 SP</t>
  </si>
  <si>
    <t>+2 SP</t>
  </si>
  <si>
    <t>Ajout benchmark, ADR, bascule modèle, mesure p50/p95</t>
  </si>
  <si>
    <t>Dans Sprint 2</t>
  </si>
  <si>
    <t>ADR-0003 + benchmark</t>
  </si>
  <si>
    <t>US-04 · Passage quiz / correction</t>
  </si>
  <si>
    <t>5 SP</t>
  </si>
  <si>
    <t>0 SP</t>
  </si>
  <si>
    <t>Pas d'impact direct, seulement régression à vérifier</t>
  </si>
  <si>
    <t>Hors Sprint 2</t>
  </si>
  <si>
    <t>US-14 · Dashboard progression</t>
  </si>
  <si>
    <t>Pas lié à la latence LLM</t>
  </si>
  <si>
    <t>Inchangé</t>
  </si>
  <si>
    <t>Planning R2</t>
  </si>
  <si>
    <t>Contrepartie Sprint 2</t>
  </si>
  <si>
    <t>—</t>
  </si>
  <si>
    <t>Aucune nouvelle story tant que ≤ 15s non validé</t>
  </si>
  <si>
    <t>Scope recentré</t>
  </si>
  <si>
    <t>Sprint Goal J2</t>
  </si>
  <si>
    <t>📌 STATUTS</t>
  </si>
  <si>
    <t>Tâche pas encore commencée</t>
  </si>
  <si>
    <t>In Progress</t>
  </si>
  <si>
    <t>Tâche en cours</t>
  </si>
  <si>
    <t>Blocked</t>
  </si>
  <si>
    <t>Tâche bloquée, à remonter au Scrum Master</t>
  </si>
  <si>
    <t>Tâche terminée, testée et revue</t>
  </si>
  <si>
    <t>Source J2</t>
  </si>
  <si>
    <t>https://mohamedelafrit.com/teaching/APOCALIPSSI/pages/perturbations/j2-technique.php</t>
  </si>
  <si>
    <t>BURNDOWN SPRINT 2 — J2 LATENCE LLM</t>
  </si>
  <si>
    <t>Suivi replanifié après perturbation technique publiée mardi à 10h00</t>
  </si>
  <si>
    <t>Point de suivi</t>
  </si>
  <si>
    <t>Heure</t>
  </si>
  <si>
    <t>Capacité restante idéale</t>
  </si>
  <si>
    <t>Restant réel</t>
  </si>
  <si>
    <t>Commentaire</t>
  </si>
  <si>
    <t>Début Sprint 2</t>
  </si>
  <si>
    <t>09h00</t>
  </si>
  <si>
    <t>Sprint 2 initial : US-03 génération IA</t>
  </si>
  <si>
    <t>Perturbation J2</t>
  </si>
  <si>
    <t>10h00</t>
  </si>
  <si>
    <t>Latence 45s remontée : re-planning, benchmark + ADR ajoutés</t>
  </si>
  <si>
    <t>Après benchmark + ADR</t>
  </si>
  <si>
    <t>12h00</t>
  </si>
  <si>
    <t>Benchmark et ADR terminés, bascule modèle restante</t>
  </si>
  <si>
    <t>Point intégration</t>
  </si>
  <si>
    <t>15h00</t>
  </si>
  <si>
    <t>[à compléter]</t>
  </si>
  <si>
    <t>Suivre intégration modèle + tests non-régression</t>
  </si>
  <si>
    <t>Review J2</t>
  </si>
  <si>
    <t>18h00</t>
  </si>
  <si>
    <t>Objectif : temps post-action ≤ 15s + code commité ou justification</t>
  </si>
  <si>
    <t>Restant actuel calculé depuis le Sprint Backlog</t>
  </si>
  <si>
    <t>📊 LECTURE ATTENDUE</t>
  </si>
  <si>
    <t>Réel &gt; Idéal</t>
  </si>
  <si>
    <t>Retard ou scope augmenté : arbitrer immédiatement</t>
  </si>
  <si>
    <t>Réel ≈ Idéal</t>
  </si>
  <si>
    <t>Sprint sous contrôle</t>
  </si>
  <si>
    <t>Réel &lt; Idéal</t>
  </si>
  <si>
    <t>Avance possible, mais ne tirer aucune nouvelle story avant p95 ≤ 15s</t>
  </si>
  <si>
    <t>Métadonnées Sprint 2 complètes après perturbation J2</t>
  </si>
  <si>
    <t>☑ Oui   ☐ Partiel   ☐ Non</t>
  </si>
  <si>
    <t>Sprint, date, capacité, objectif latence et PO renseignés</t>
  </si>
  <si>
    <t>Benchmark ≥ 3 modèles tracé dans les tâches du sprint</t>
  </si>
  <si>
    <t>T-J2.1 à T-J2.5 visibles et en Done</t>
  </si>
  <si>
    <t>ADR J2 tracé dans le Sprint Backlog</t>
  </si>
  <si>
    <t>T-J2.6 ADR-0003 en Done</t>
  </si>
  <si>
    <t>Stories impactées réestimées avant / après</t>
  </si>
  <si>
    <t>Table re-estimation US-03, US-04, US-14</t>
  </si>
  <si>
    <t>Tâches de bascule modèle explicitement ajoutées</t>
  </si>
  <si>
    <t>T-03.1 à T-03.7</t>
  </si>
  <si>
    <t>Chaque tâche a un responsable et une estimation horaire</t>
  </si>
  <si>
    <t>Aucune tâche orpheline</t>
  </si>
  <si>
    <t>Total estimé cohérent avec capacité du sprint</t>
  </si>
  <si>
    <t>Total = 28 h-pers</t>
  </si>
  <si>
    <t>Critère de succès mesurable ≤ 15s présent</t>
  </si>
  <si>
    <t>Sprint Goal + T-03.7</t>
  </si>
  <si>
    <t>Burndown Sprint 2 initialisé/replanifié</t>
  </si>
  <si>
    <t>Points 09h, 10h, 12h, 15h, 18h</t>
  </si>
  <si>
    <t>Code commité ou justification prévu explicitement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</si>
</sst>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i/>
      <sz val="10"/>
      <color rgb="FFFFFFFF"/>
      <name val="Calibri"/>
    </font>
    <font>
      <b/>
      <i/>
      <sz val="10"/>
      <color rgb="FF1F2937"/>
      <name val="Calibri"/>
    </font>
    <font>
      <b/>
      <i/>
      <sz val="11"/>
      <color rgb="FF1F2937"/>
      <name val="Calibri"/>
    </font>
    <font>
      <b/>
      <sz val="11"/>
      <color rgb="FFF59E0B"/>
      <name val="Calibri"/>
    </font>
    <font>
      <i/>
      <sz val="11"/>
      <color theme="1"/>
      <name val="Calibri"/>
    </font>
    <font>
      <i/>
      <sz val="11"/>
      <color rgb="FF374151"/>
      <name val="Calibri"/>
    </font>
    <font>
      <b/>
      <sz val="12"/>
      <color rgb="FFFFFFFF"/>
      <name val="Calibri"/>
    </font>
    <font>
      <sz val="10"/>
      <color rgb="FF111827"/>
      <name val="Calibri"/>
    </font>
    <font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ECFDF5"/>
      </patternFill>
    </fill>
    <fill>
      <patternFill patternType="solid">
        <fgColor rgb="FF2E2A7F"/>
      </patternFill>
    </fill>
    <fill>
      <patternFill patternType="solid">
        <fgColor rgb="FFDDE5FF"/>
      </patternFill>
    </fill>
    <fill>
      <patternFill patternType="solid">
        <fgColor rgb="FF111827"/>
      </patternFill>
    </fill>
    <fill>
      <patternFill patternType="solid">
        <fgColor rgb="FF4338CA"/>
      </patternFill>
    </fill>
    <fill>
      <patternFill patternType="solid">
        <fgColor rgb="FFE7F6EC"/>
      </patternFill>
    </fill>
    <fill>
      <patternFill patternType="solid">
        <fgColor rgb="FFDBEAFE"/>
      </patternFill>
    </fill>
    <fill>
      <patternFill patternType="solid">
        <fgColor rgb="FFECFDF5"/>
      </patternFill>
    </fill>
    <fill>
      <patternFill patternType="solid">
        <fgColor rgb="FFFEE2E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center" vertical="center" wrapText="1"/>
    </xf>
    <xf numFmtId="0" fontId="19" fillId="0" borderId="0" xfId="0" applyFont="1"/>
    <xf numFmtId="0" fontId="13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9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15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20" fillId="5" borderId="0" xfId="0" applyFont="1" applyFill="1" applyAlignment="1">
      <alignment horizontal="center"/>
    </xf>
    <xf numFmtId="0" fontId="23" fillId="6" borderId="0" xfId="0" applyFont="1" applyFill="1" applyAlignment="1">
      <alignment wrapText="1"/>
    </xf>
    <xf numFmtId="0" fontId="24" fillId="6" borderId="0" xfId="0" applyFont="1" applyFill="1" applyAlignment="1">
      <alignment wrapText="1"/>
    </xf>
    <xf numFmtId="0" fontId="25" fillId="0" borderId="0" xfId="0" applyFont="1"/>
    <xf numFmtId="0" fontId="17" fillId="5" borderId="1" xfId="0" applyFont="1" applyFill="1" applyBorder="1" applyAlignment="1">
      <alignment horizontal="center" vertical="top" wrapText="1"/>
    </xf>
    <xf numFmtId="0" fontId="21" fillId="7" borderId="0" xfId="0" applyFont="1" applyFill="1" applyAlignment="1">
      <alignment vertical="top" wrapText="1"/>
    </xf>
    <xf numFmtId="0" fontId="22" fillId="7" borderId="0" xfId="0" applyFont="1" applyFill="1" applyAlignment="1">
      <alignment vertical="top" wrapText="1"/>
    </xf>
    <xf numFmtId="0" fontId="17" fillId="7" borderId="0" xfId="0" applyFont="1" applyFill="1" applyAlignment="1">
      <alignment vertical="top" wrapText="1"/>
    </xf>
    <xf numFmtId="0" fontId="13" fillId="9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vertical="top" wrapText="1"/>
    </xf>
    <xf numFmtId="0" fontId="14" fillId="9" borderId="2" xfId="0" applyFont="1" applyFill="1" applyBorder="1" applyAlignment="1">
      <alignment horizontal="center" vertical="top" wrapText="1"/>
    </xf>
    <xf numFmtId="0" fontId="13" fillId="10" borderId="2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vertical="top" wrapText="1"/>
    </xf>
    <xf numFmtId="0" fontId="14" fillId="10" borderId="2" xfId="0" applyFont="1" applyFill="1" applyBorder="1" applyAlignment="1">
      <alignment horizontal="center" vertical="top" wrapText="1"/>
    </xf>
    <xf numFmtId="0" fontId="10" fillId="10" borderId="2" xfId="0" applyFon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9" fillId="10" borderId="2" xfId="0" applyFont="1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0" fontId="13" fillId="2" borderId="2" xfId="0" applyFont="1" applyFill="1" applyBorder="1" applyAlignment="1">
      <alignment wrapText="1"/>
    </xf>
    <xf numFmtId="0" fontId="21" fillId="5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21" fillId="7" borderId="2" xfId="0" applyFont="1" applyFill="1" applyBorder="1" applyAlignment="1">
      <alignment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vertical="center" wrapText="1"/>
    </xf>
    <xf numFmtId="0" fontId="20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26" fillId="6" borderId="0" xfId="0" applyFont="1" applyFill="1" applyAlignment="1">
      <alignment wrapText="1"/>
    </xf>
    <xf numFmtId="0" fontId="21" fillId="5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0" xfId="0" applyFont="1" applyFill="1"/>
    <xf numFmtId="0" fontId="0" fillId="0" borderId="0" xfId="0" applyAlignment="1">
      <alignment horizontal="center" vertical="center" wrapText="1"/>
    </xf>
    <xf numFmtId="0" fontId="27" fillId="0" borderId="0" xfId="0" applyFont="1"/>
    <xf numFmtId="0" fontId="21" fillId="8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vertical="center"/>
    </xf>
    <xf numFmtId="0" fontId="3" fillId="10" borderId="3" xfId="0" applyFont="1" applyFill="1" applyBorder="1" applyAlignment="1">
      <alignment vertical="top" wrapText="1"/>
    </xf>
    <xf numFmtId="0" fontId="18" fillId="11" borderId="3" xfId="0" applyFont="1" applyFill="1" applyBorder="1" applyAlignment="1">
      <alignment vertical="top" wrapText="1"/>
    </xf>
    <xf numFmtId="0" fontId="9" fillId="11" borderId="3" xfId="0" applyFont="1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19" fillId="11" borderId="3" xfId="0" applyFont="1" applyFill="1" applyBorder="1" applyAlignment="1">
      <alignment vertical="top" wrapText="1"/>
    </xf>
    <xf numFmtId="0" fontId="29" fillId="1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21</v>
      </c>
    </row>
    <row r="10" spans="2:2" ht="31.5" x14ac:dyDescent="0.5">
      <c r="B10" s="4" t="s">
        <v>22</v>
      </c>
    </row>
    <row r="12" spans="2:2" ht="15.75" x14ac:dyDescent="0.25">
      <c r="B12" s="5" t="s">
        <v>23</v>
      </c>
    </row>
    <row r="20" spans="2:2" x14ac:dyDescent="0.25">
      <c r="B20" s="6" t="s">
        <v>2</v>
      </c>
    </row>
    <row r="21" spans="2:2" x14ac:dyDescent="0.25">
      <c r="B21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25" customWidth="1"/>
    <col min="3" max="3" width="60" customWidth="1"/>
  </cols>
  <sheetData>
    <row r="2" spans="2:3" ht="15.75" x14ac:dyDescent="0.25">
      <c r="B2" s="8" t="s">
        <v>4</v>
      </c>
    </row>
    <row r="3" spans="2:3" x14ac:dyDescent="0.25">
      <c r="B3" s="9" t="s">
        <v>5</v>
      </c>
    </row>
    <row r="5" spans="2:3" ht="21.95" customHeight="1" x14ac:dyDescent="0.25">
      <c r="B5" s="10" t="s">
        <v>6</v>
      </c>
      <c r="C5" s="11" t="s">
        <v>7</v>
      </c>
    </row>
    <row r="6" spans="2:3" ht="21.95" customHeight="1" x14ac:dyDescent="0.25">
      <c r="B6" s="10" t="s">
        <v>8</v>
      </c>
      <c r="C6" s="11" t="s">
        <v>9</v>
      </c>
    </row>
    <row r="7" spans="2:3" ht="21.95" customHeight="1" x14ac:dyDescent="0.25">
      <c r="B7" s="10" t="s">
        <v>10</v>
      </c>
      <c r="C7" s="11" t="s">
        <v>24</v>
      </c>
    </row>
    <row r="8" spans="2:3" ht="21.95" customHeight="1" x14ac:dyDescent="0.25">
      <c r="B8" s="10" t="s">
        <v>11</v>
      </c>
      <c r="C8" s="11" t="s">
        <v>25</v>
      </c>
    </row>
    <row r="9" spans="2:3" ht="21.95" customHeight="1" x14ac:dyDescent="0.25">
      <c r="B9" s="10" t="s">
        <v>12</v>
      </c>
      <c r="C9" s="11" t="s">
        <v>26</v>
      </c>
    </row>
    <row r="10" spans="2:3" ht="21.95" customHeight="1" x14ac:dyDescent="0.25">
      <c r="B10" s="10" t="s">
        <v>13</v>
      </c>
      <c r="C10" s="11" t="s">
        <v>27</v>
      </c>
    </row>
    <row r="12" spans="2:3" x14ac:dyDescent="0.25">
      <c r="B12" s="12" t="s">
        <v>14</v>
      </c>
    </row>
    <row r="13" spans="2:3" x14ac:dyDescent="0.25">
      <c r="B13" s="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showGridLines="0" tabSelected="1" workbookViewId="0">
      <selection activeCell="I46" sqref="I46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48" customWidth="1"/>
    <col min="4" max="4" width="26" customWidth="1"/>
    <col min="5" max="6" width="11" customWidth="1"/>
    <col min="7" max="7" width="13" customWidth="1"/>
  </cols>
  <sheetData>
    <row r="1" spans="1:7" ht="18.75" x14ac:dyDescent="0.3">
      <c r="A1" s="28" t="s">
        <v>28</v>
      </c>
      <c r="B1" s="28"/>
      <c r="C1" s="28"/>
      <c r="D1" s="28"/>
      <c r="E1" s="28"/>
      <c r="F1" s="28"/>
      <c r="G1" s="28"/>
    </row>
    <row r="2" spans="1:7" ht="102.75" x14ac:dyDescent="0.25">
      <c r="A2" s="29" t="s">
        <v>29</v>
      </c>
      <c r="B2" s="30"/>
      <c r="C2" s="30"/>
      <c r="D2" s="30"/>
      <c r="E2" s="30"/>
      <c r="F2" s="30"/>
      <c r="G2" s="30"/>
    </row>
    <row r="4" spans="1:7" ht="15.75" x14ac:dyDescent="0.25">
      <c r="A4" s="8" t="s">
        <v>30</v>
      </c>
      <c r="B4" s="31"/>
      <c r="C4" s="31"/>
      <c r="D4" s="31"/>
      <c r="E4" s="31"/>
      <c r="F4" s="31"/>
      <c r="G4" s="31"/>
    </row>
    <row r="5" spans="1:7" ht="21.95" customHeight="1" x14ac:dyDescent="0.25">
      <c r="A5" s="46" t="s">
        <v>31</v>
      </c>
      <c r="B5" s="13" t="s">
        <v>32</v>
      </c>
    </row>
    <row r="6" spans="1:7" ht="21.95" customHeight="1" x14ac:dyDescent="0.25">
      <c r="A6" s="46" t="s">
        <v>33</v>
      </c>
      <c r="B6" s="13" t="s">
        <v>34</v>
      </c>
    </row>
    <row r="7" spans="1:7" ht="21.95" customHeight="1" x14ac:dyDescent="0.25">
      <c r="A7" s="46" t="s">
        <v>35</v>
      </c>
      <c r="B7" s="13" t="s">
        <v>36</v>
      </c>
    </row>
    <row r="8" spans="1:7" ht="21.95" customHeight="1" x14ac:dyDescent="0.25">
      <c r="A8" s="46" t="s">
        <v>37</v>
      </c>
      <c r="B8" s="13" t="s">
        <v>38</v>
      </c>
    </row>
    <row r="9" spans="1:7" ht="21.95" customHeight="1" x14ac:dyDescent="0.25">
      <c r="A9" s="46" t="s">
        <v>39</v>
      </c>
      <c r="B9" s="13" t="s">
        <v>40</v>
      </c>
    </row>
    <row r="10" spans="1:7" ht="21.95" customHeight="1" x14ac:dyDescent="0.25">
      <c r="A10" s="46" t="s">
        <v>41</v>
      </c>
      <c r="B10" s="13" t="s">
        <v>42</v>
      </c>
    </row>
    <row r="11" spans="1:7" ht="21.95" customHeight="1" x14ac:dyDescent="0.25">
      <c r="A11" s="46" t="s">
        <v>43</v>
      </c>
      <c r="B11" s="13" t="s">
        <v>44</v>
      </c>
    </row>
    <row r="12" spans="1:7" ht="21.95" customHeight="1" x14ac:dyDescent="0.25">
      <c r="A12" s="46" t="s">
        <v>45</v>
      </c>
      <c r="B12" s="13" t="s">
        <v>46</v>
      </c>
    </row>
    <row r="14" spans="1:7" x14ac:dyDescent="0.25">
      <c r="A14" s="3" t="s">
        <v>47</v>
      </c>
      <c r="B14" s="9" t="s">
        <v>48</v>
      </c>
    </row>
    <row r="15" spans="1:7" x14ac:dyDescent="0.25">
      <c r="A15" s="3" t="s">
        <v>49</v>
      </c>
      <c r="B15" s="9" t="s">
        <v>50</v>
      </c>
    </row>
    <row r="16" spans="1:7" x14ac:dyDescent="0.25">
      <c r="A16" s="14" t="s">
        <v>51</v>
      </c>
      <c r="B16" s="9" t="s">
        <v>52</v>
      </c>
    </row>
    <row r="17" spans="1:7" x14ac:dyDescent="0.25">
      <c r="A17" s="15" t="s">
        <v>53</v>
      </c>
      <c r="B17" s="9" t="s">
        <v>54</v>
      </c>
    </row>
    <row r="19" spans="1:7" x14ac:dyDescent="0.25">
      <c r="A19" s="32" t="s">
        <v>55</v>
      </c>
      <c r="B19" s="32" t="s">
        <v>56</v>
      </c>
      <c r="C19" s="32" t="s">
        <v>57</v>
      </c>
      <c r="D19" s="32" t="s">
        <v>58</v>
      </c>
      <c r="E19" s="32" t="s">
        <v>59</v>
      </c>
      <c r="F19" s="32" t="s">
        <v>60</v>
      </c>
      <c r="G19" s="32" t="s">
        <v>13</v>
      </c>
    </row>
    <row r="20" spans="1:7" ht="32.1" customHeight="1" x14ac:dyDescent="0.25">
      <c r="A20" s="36" t="s">
        <v>61</v>
      </c>
      <c r="B20" s="36" t="s">
        <v>62</v>
      </c>
      <c r="C20" s="37" t="s">
        <v>63</v>
      </c>
      <c r="D20" s="37" t="s">
        <v>64</v>
      </c>
      <c r="E20" s="38">
        <v>1</v>
      </c>
      <c r="F20" s="38">
        <v>0</v>
      </c>
      <c r="G20" s="37" t="s">
        <v>65</v>
      </c>
    </row>
    <row r="21" spans="1:7" ht="32.1" customHeight="1" x14ac:dyDescent="0.25">
      <c r="A21" s="36" t="s">
        <v>61</v>
      </c>
      <c r="B21" s="36" t="s">
        <v>66</v>
      </c>
      <c r="C21" s="37" t="s">
        <v>67</v>
      </c>
      <c r="D21" s="37" t="s">
        <v>68</v>
      </c>
      <c r="E21" s="38">
        <v>2</v>
      </c>
      <c r="F21" s="38">
        <v>0</v>
      </c>
      <c r="G21" s="37" t="s">
        <v>65</v>
      </c>
    </row>
    <row r="22" spans="1:7" ht="32.1" customHeight="1" x14ac:dyDescent="0.25">
      <c r="A22" s="36" t="s">
        <v>61</v>
      </c>
      <c r="B22" s="36" t="s">
        <v>69</v>
      </c>
      <c r="C22" s="37" t="s">
        <v>70</v>
      </c>
      <c r="D22" s="37" t="s">
        <v>71</v>
      </c>
      <c r="E22" s="38">
        <v>1.5</v>
      </c>
      <c r="F22" s="38">
        <v>0</v>
      </c>
      <c r="G22" s="37" t="s">
        <v>65</v>
      </c>
    </row>
    <row r="23" spans="1:7" ht="32.1" customHeight="1" x14ac:dyDescent="0.25">
      <c r="A23" s="36" t="s">
        <v>61</v>
      </c>
      <c r="B23" s="36" t="s">
        <v>72</v>
      </c>
      <c r="C23" s="37" t="s">
        <v>73</v>
      </c>
      <c r="D23" s="37" t="s">
        <v>74</v>
      </c>
      <c r="E23" s="38">
        <v>3</v>
      </c>
      <c r="F23" s="38">
        <v>0</v>
      </c>
      <c r="G23" s="37" t="s">
        <v>65</v>
      </c>
    </row>
    <row r="24" spans="1:7" ht="32.1" customHeight="1" x14ac:dyDescent="0.25">
      <c r="A24" s="36" t="s">
        <v>61</v>
      </c>
      <c r="B24" s="36" t="s">
        <v>75</v>
      </c>
      <c r="C24" s="37" t="s">
        <v>76</v>
      </c>
      <c r="D24" s="37" t="s">
        <v>77</v>
      </c>
      <c r="E24" s="38">
        <v>2</v>
      </c>
      <c r="F24" s="38">
        <v>0</v>
      </c>
      <c r="G24" s="37" t="s">
        <v>65</v>
      </c>
    </row>
    <row r="25" spans="1:7" ht="32.1" customHeight="1" x14ac:dyDescent="0.25">
      <c r="A25" s="36" t="s">
        <v>61</v>
      </c>
      <c r="B25" s="36" t="s">
        <v>78</v>
      </c>
      <c r="C25" s="37" t="s">
        <v>79</v>
      </c>
      <c r="D25" s="37" t="s">
        <v>80</v>
      </c>
      <c r="E25" s="38">
        <v>1.5</v>
      </c>
      <c r="F25" s="38">
        <v>0</v>
      </c>
      <c r="G25" s="37" t="s">
        <v>65</v>
      </c>
    </row>
    <row r="26" spans="1:7" ht="32.1" customHeight="1" x14ac:dyDescent="0.25">
      <c r="A26" s="39" t="s">
        <v>81</v>
      </c>
      <c r="B26" s="39" t="s">
        <v>82</v>
      </c>
      <c r="C26" s="40" t="s">
        <v>83</v>
      </c>
      <c r="D26" s="40" t="s">
        <v>68</v>
      </c>
      <c r="E26" s="41">
        <v>2</v>
      </c>
      <c r="F26" s="41">
        <v>2</v>
      </c>
      <c r="G26" s="40" t="s">
        <v>84</v>
      </c>
    </row>
    <row r="27" spans="1:7" ht="32.1" customHeight="1" x14ac:dyDescent="0.25">
      <c r="A27" s="39" t="s">
        <v>81</v>
      </c>
      <c r="B27" s="39" t="s">
        <v>85</v>
      </c>
      <c r="C27" s="40" t="s">
        <v>86</v>
      </c>
      <c r="D27" s="40" t="s">
        <v>64</v>
      </c>
      <c r="E27" s="41">
        <v>3</v>
      </c>
      <c r="F27" s="41">
        <v>3</v>
      </c>
      <c r="G27" s="40" t="s">
        <v>84</v>
      </c>
    </row>
    <row r="28" spans="1:7" ht="32.1" customHeight="1" x14ac:dyDescent="0.25">
      <c r="A28" s="39" t="s">
        <v>81</v>
      </c>
      <c r="B28" s="39" t="s">
        <v>87</v>
      </c>
      <c r="C28" s="40" t="s">
        <v>88</v>
      </c>
      <c r="D28" s="40" t="s">
        <v>80</v>
      </c>
      <c r="E28" s="41">
        <v>2</v>
      </c>
      <c r="F28" s="41">
        <v>2</v>
      </c>
      <c r="G28" s="40" t="s">
        <v>84</v>
      </c>
    </row>
    <row r="29" spans="1:7" ht="32.1" customHeight="1" x14ac:dyDescent="0.25">
      <c r="A29" s="39" t="s">
        <v>81</v>
      </c>
      <c r="B29" s="39" t="s">
        <v>89</v>
      </c>
      <c r="C29" s="40" t="s">
        <v>90</v>
      </c>
      <c r="D29" s="40" t="s">
        <v>74</v>
      </c>
      <c r="E29" s="41">
        <v>2.5</v>
      </c>
      <c r="F29" s="41">
        <v>2.5</v>
      </c>
      <c r="G29" s="40" t="s">
        <v>84</v>
      </c>
    </row>
    <row r="30" spans="1:7" ht="32.1" customHeight="1" x14ac:dyDescent="0.25">
      <c r="A30" s="42" t="s">
        <v>81</v>
      </c>
      <c r="B30" s="43" t="s">
        <v>91</v>
      </c>
      <c r="C30" s="44" t="s">
        <v>92</v>
      </c>
      <c r="D30" s="43" t="s">
        <v>93</v>
      </c>
      <c r="E30" s="42">
        <v>1.5</v>
      </c>
      <c r="F30" s="42">
        <v>1.5</v>
      </c>
      <c r="G30" s="43" t="s">
        <v>84</v>
      </c>
    </row>
    <row r="31" spans="1:7" ht="32.1" customHeight="1" x14ac:dyDescent="0.25">
      <c r="A31" s="45" t="s">
        <v>81</v>
      </c>
      <c r="B31" s="45" t="s">
        <v>94</v>
      </c>
      <c r="C31" s="45" t="s">
        <v>95</v>
      </c>
      <c r="D31" s="45" t="s">
        <v>71</v>
      </c>
      <c r="E31" s="45">
        <v>2</v>
      </c>
      <c r="F31" s="45">
        <v>2</v>
      </c>
      <c r="G31" s="45" t="s">
        <v>84</v>
      </c>
    </row>
    <row r="32" spans="1:7" ht="32.1" customHeight="1" x14ac:dyDescent="0.25">
      <c r="A32" s="64" t="s">
        <v>81</v>
      </c>
      <c r="B32" s="45" t="s">
        <v>96</v>
      </c>
      <c r="C32" s="45" t="s">
        <v>97</v>
      </c>
      <c r="D32" s="45" t="s">
        <v>77</v>
      </c>
      <c r="E32" s="45">
        <v>1.5</v>
      </c>
      <c r="F32" s="45">
        <v>1.5</v>
      </c>
      <c r="G32" s="45" t="s">
        <v>84</v>
      </c>
    </row>
    <row r="33" spans="1:7" ht="32.1" customHeight="1" x14ac:dyDescent="0.25">
      <c r="A33" s="65" t="s">
        <v>98</v>
      </c>
      <c r="B33" s="66" t="s">
        <v>99</v>
      </c>
      <c r="C33" s="67" t="s">
        <v>100</v>
      </c>
      <c r="D33" s="67" t="s">
        <v>101</v>
      </c>
      <c r="E33" s="67">
        <v>1</v>
      </c>
      <c r="F33" s="67">
        <v>1</v>
      </c>
      <c r="G33" s="67" t="s">
        <v>84</v>
      </c>
    </row>
    <row r="34" spans="1:7" ht="32.1" customHeight="1" x14ac:dyDescent="0.25">
      <c r="A34" s="68" t="s">
        <v>98</v>
      </c>
      <c r="B34" s="66" t="s">
        <v>102</v>
      </c>
      <c r="C34" s="67" t="s">
        <v>103</v>
      </c>
      <c r="D34" s="67" t="s">
        <v>77</v>
      </c>
      <c r="E34" s="67">
        <v>1.5</v>
      </c>
      <c r="F34" s="67">
        <v>1.5</v>
      </c>
      <c r="G34" s="67" t="s">
        <v>84</v>
      </c>
    </row>
    <row r="35" spans="1:7" x14ac:dyDescent="0.25">
      <c r="A35" s="33" t="s">
        <v>104</v>
      </c>
      <c r="B35" s="34"/>
      <c r="C35" s="35" t="s">
        <v>105</v>
      </c>
      <c r="D35" s="35"/>
      <c r="E35" s="35">
        <f>SUM(E20:E34)</f>
        <v>28</v>
      </c>
      <c r="F35" s="35">
        <f>SUM(F20:F34)</f>
        <v>17</v>
      </c>
      <c r="G35" s="35"/>
    </row>
    <row r="36" spans="1:7" x14ac:dyDescent="0.25">
      <c r="A36" s="23"/>
      <c r="B36" s="21"/>
      <c r="C36" s="22"/>
      <c r="D36" s="22"/>
      <c r="E36" s="22"/>
      <c r="F36" s="22"/>
      <c r="G36" s="22"/>
    </row>
    <row r="37" spans="1:7" ht="21" customHeight="1" x14ac:dyDescent="0.25">
      <c r="A37" s="63" t="s">
        <v>106</v>
      </c>
      <c r="B37" s="63"/>
      <c r="C37" s="63"/>
      <c r="D37" s="63"/>
      <c r="E37" s="63"/>
      <c r="F37" s="63"/>
      <c r="G37" s="63"/>
    </row>
    <row r="38" spans="1:7" ht="40.5" customHeight="1" x14ac:dyDescent="0.25">
      <c r="A38" s="62" t="s">
        <v>107</v>
      </c>
      <c r="B38" s="62" t="s">
        <v>108</v>
      </c>
      <c r="C38" s="62" t="s">
        <v>109</v>
      </c>
      <c r="D38" s="62" t="s">
        <v>110</v>
      </c>
      <c r="E38" s="62" t="s">
        <v>111</v>
      </c>
      <c r="F38" s="62" t="s">
        <v>112</v>
      </c>
      <c r="G38" s="62" t="s">
        <v>113</v>
      </c>
    </row>
    <row r="39" spans="1:7" ht="40.5" customHeight="1" x14ac:dyDescent="0.25">
      <c r="A39" s="69" t="s">
        <v>114</v>
      </c>
      <c r="B39" s="69" t="s">
        <v>115</v>
      </c>
      <c r="C39" s="69" t="s">
        <v>116</v>
      </c>
      <c r="D39" s="69" t="s">
        <v>117</v>
      </c>
      <c r="E39" s="69" t="s">
        <v>118</v>
      </c>
      <c r="F39" s="69" t="s">
        <v>119</v>
      </c>
      <c r="G39" s="69" t="s">
        <v>120</v>
      </c>
    </row>
    <row r="40" spans="1:7" ht="40.5" customHeight="1" x14ac:dyDescent="0.25">
      <c r="A40" s="69" t="s">
        <v>121</v>
      </c>
      <c r="B40" s="69" t="s">
        <v>122</v>
      </c>
      <c r="C40" s="69" t="s">
        <v>122</v>
      </c>
      <c r="D40" s="69" t="s">
        <v>123</v>
      </c>
      <c r="E40" s="69" t="s">
        <v>124</v>
      </c>
      <c r="F40" s="69" t="s">
        <v>125</v>
      </c>
      <c r="G40" s="69" t="s">
        <v>94</v>
      </c>
    </row>
    <row r="41" spans="1:7" ht="40.5" customHeight="1" x14ac:dyDescent="0.25">
      <c r="A41" s="69" t="s">
        <v>126</v>
      </c>
      <c r="B41" s="69" t="s">
        <v>122</v>
      </c>
      <c r="C41" s="69" t="s">
        <v>122</v>
      </c>
      <c r="D41" s="69" t="s">
        <v>123</v>
      </c>
      <c r="E41" s="69" t="s">
        <v>127</v>
      </c>
      <c r="F41" s="69" t="s">
        <v>128</v>
      </c>
      <c r="G41" s="69" t="s">
        <v>129</v>
      </c>
    </row>
    <row r="42" spans="1:7" ht="40.5" customHeight="1" x14ac:dyDescent="0.25">
      <c r="A42" s="69" t="s">
        <v>130</v>
      </c>
      <c r="B42" s="69" t="s">
        <v>131</v>
      </c>
      <c r="C42" s="69" t="s">
        <v>131</v>
      </c>
      <c r="D42" s="69" t="s">
        <v>131</v>
      </c>
      <c r="E42" s="69" t="s">
        <v>132</v>
      </c>
      <c r="F42" s="69" t="s">
        <v>133</v>
      </c>
      <c r="G42" s="69" t="s">
        <v>134</v>
      </c>
    </row>
    <row r="43" spans="1:7" x14ac:dyDescent="0.25">
      <c r="A43" s="24"/>
      <c r="B43" s="24"/>
      <c r="C43" s="24"/>
      <c r="D43" s="24"/>
      <c r="E43" s="24"/>
      <c r="F43" s="24"/>
      <c r="G43" s="24"/>
    </row>
    <row r="44" spans="1:7" x14ac:dyDescent="0.25">
      <c r="A44" s="20" t="s">
        <v>135</v>
      </c>
      <c r="B44" s="20"/>
      <c r="C44" s="20"/>
      <c r="D44" s="20"/>
      <c r="E44" s="20"/>
      <c r="F44" s="20"/>
      <c r="G44" s="20"/>
    </row>
    <row r="45" spans="1:7" ht="45" x14ac:dyDescent="0.25">
      <c r="A45" s="20" t="s">
        <v>84</v>
      </c>
      <c r="B45" s="20" t="s">
        <v>136</v>
      </c>
      <c r="C45" s="20"/>
      <c r="D45" s="20"/>
      <c r="E45" s="20"/>
      <c r="F45" s="20"/>
      <c r="G45" s="20"/>
    </row>
    <row r="46" spans="1:7" ht="30" x14ac:dyDescent="0.25">
      <c r="A46" s="20" t="s">
        <v>137</v>
      </c>
      <c r="B46" s="20" t="s">
        <v>138</v>
      </c>
      <c r="C46" s="20"/>
      <c r="D46" s="20"/>
      <c r="E46" s="20"/>
      <c r="F46" s="20"/>
      <c r="G46" s="20"/>
    </row>
    <row r="47" spans="1:7" ht="75" x14ac:dyDescent="0.25">
      <c r="A47" s="20" t="s">
        <v>139</v>
      </c>
      <c r="B47" s="20" t="s">
        <v>140</v>
      </c>
      <c r="C47" s="20"/>
      <c r="D47" s="20"/>
      <c r="E47" s="20"/>
      <c r="F47" s="20"/>
      <c r="G47" s="20"/>
    </row>
    <row r="48" spans="1:7" ht="60" x14ac:dyDescent="0.25">
      <c r="A48" s="20" t="s">
        <v>65</v>
      </c>
      <c r="B48" s="20" t="s">
        <v>141</v>
      </c>
      <c r="C48" s="20"/>
      <c r="D48" s="20"/>
      <c r="E48" s="20"/>
      <c r="F48" s="20"/>
      <c r="G48" s="20"/>
    </row>
    <row r="49" spans="1:7" x14ac:dyDescent="0.25">
      <c r="A49" s="61" t="s">
        <v>142</v>
      </c>
      <c r="B49" s="61" t="s">
        <v>143</v>
      </c>
      <c r="C49" s="61"/>
      <c r="D49" s="61"/>
      <c r="E49" s="61"/>
      <c r="F49" s="61"/>
      <c r="G49" s="61"/>
    </row>
  </sheetData>
  <mergeCells count="1">
    <mergeCell ref="A37:G37"/>
  </mergeCells>
  <phoneticPr fontId="30" type="noConversion"/>
  <dataValidations count="1">
    <dataValidation type="list" sqref="G20:G34" xr:uid="{00000000-0002-0000-0200-000000000000}">
      <formula1>"Todo,In Progress,Blocked,Done"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/>
  </sheetViews>
  <sheetFormatPr baseColWidth="10" defaultColWidth="9.140625" defaultRowHeight="15" x14ac:dyDescent="0.25"/>
  <cols>
    <col min="1" max="1" width="24" customWidth="1"/>
    <col min="2" max="2" width="42" customWidth="1"/>
    <col min="3" max="3" width="18.85546875" customWidth="1"/>
    <col min="4" max="4" width="9.5703125" customWidth="1"/>
    <col min="5" max="5" width="55" customWidth="1"/>
  </cols>
  <sheetData>
    <row r="1" spans="1:5" ht="56.25" x14ac:dyDescent="0.3">
      <c r="A1" s="53" t="s">
        <v>144</v>
      </c>
      <c r="B1" s="53"/>
      <c r="C1" s="53"/>
      <c r="D1" s="53"/>
      <c r="E1" s="53"/>
    </row>
    <row r="2" spans="1:5" ht="39" x14ac:dyDescent="0.25">
      <c r="A2" s="54" t="s">
        <v>145</v>
      </c>
      <c r="B2" s="55"/>
      <c r="C2" s="55"/>
      <c r="D2" s="55"/>
      <c r="E2" s="55"/>
    </row>
    <row r="3" spans="1:5" x14ac:dyDescent="0.25">
      <c r="A3" s="20"/>
      <c r="B3" s="20"/>
      <c r="C3" s="20"/>
      <c r="D3" s="20"/>
      <c r="E3" s="20"/>
    </row>
    <row r="4" spans="1:5" ht="30" x14ac:dyDescent="0.25">
      <c r="A4" s="47" t="s">
        <v>146</v>
      </c>
      <c r="B4" s="48" t="s">
        <v>147</v>
      </c>
      <c r="C4" s="49" t="s">
        <v>148</v>
      </c>
      <c r="D4" s="49" t="s">
        <v>149</v>
      </c>
      <c r="E4" s="49" t="s">
        <v>150</v>
      </c>
    </row>
    <row r="5" spans="1:5" x14ac:dyDescent="0.25">
      <c r="A5" s="25" t="s">
        <v>151</v>
      </c>
      <c r="B5" s="26" t="s">
        <v>152</v>
      </c>
      <c r="C5" s="20">
        <v>28</v>
      </c>
      <c r="D5" s="20">
        <v>28</v>
      </c>
      <c r="E5" s="20" t="s">
        <v>153</v>
      </c>
    </row>
    <row r="6" spans="1:5" ht="30" x14ac:dyDescent="0.25">
      <c r="A6" s="20" t="s">
        <v>154</v>
      </c>
      <c r="B6" s="20" t="s">
        <v>155</v>
      </c>
      <c r="C6" s="20">
        <v>21</v>
      </c>
      <c r="D6" s="20">
        <v>28</v>
      </c>
      <c r="E6" s="20" t="s">
        <v>156</v>
      </c>
    </row>
    <row r="7" spans="1:5" x14ac:dyDescent="0.25">
      <c r="A7" s="16" t="s">
        <v>157</v>
      </c>
      <c r="B7" s="16" t="s">
        <v>158</v>
      </c>
      <c r="C7" s="16">
        <v>14</v>
      </c>
      <c r="D7" s="16">
        <v>17</v>
      </c>
      <c r="E7" s="16" t="s">
        <v>159</v>
      </c>
    </row>
    <row r="8" spans="1:5" ht="24.95" customHeight="1" x14ac:dyDescent="0.25">
      <c r="A8" s="18" t="s">
        <v>160</v>
      </c>
      <c r="B8" s="27" t="s">
        <v>161</v>
      </c>
      <c r="C8" s="27">
        <v>7</v>
      </c>
      <c r="D8" s="27" t="s">
        <v>162</v>
      </c>
      <c r="E8" s="13" t="s">
        <v>163</v>
      </c>
    </row>
    <row r="9" spans="1:5" ht="24.95" customHeight="1" x14ac:dyDescent="0.25">
      <c r="A9" s="18" t="s">
        <v>164</v>
      </c>
      <c r="B9" s="27" t="s">
        <v>165</v>
      </c>
      <c r="C9" s="27">
        <v>0</v>
      </c>
      <c r="D9" s="27" t="s">
        <v>162</v>
      </c>
      <c r="E9" s="13" t="s">
        <v>166</v>
      </c>
    </row>
    <row r="10" spans="1:5" ht="24.95" customHeight="1" x14ac:dyDescent="0.25">
      <c r="A10" s="50" t="s">
        <v>104</v>
      </c>
      <c r="B10" s="51"/>
      <c r="C10" s="51">
        <v>28</v>
      </c>
      <c r="D10" s="51">
        <v>17</v>
      </c>
      <c r="E10" s="50" t="s">
        <v>167</v>
      </c>
    </row>
    <row r="11" spans="1:5" ht="24.95" customHeight="1" x14ac:dyDescent="0.25">
      <c r="A11" s="18"/>
      <c r="B11" s="27"/>
      <c r="C11" s="27"/>
      <c r="D11" s="27"/>
      <c r="E11" s="13"/>
    </row>
    <row r="12" spans="1:5" ht="24.95" customHeight="1" x14ac:dyDescent="0.25">
      <c r="A12" s="52" t="s">
        <v>168</v>
      </c>
      <c r="B12" s="56"/>
      <c r="C12" s="56"/>
      <c r="D12" s="56"/>
      <c r="E12" s="52"/>
    </row>
    <row r="13" spans="1:5" ht="30" x14ac:dyDescent="0.25">
      <c r="A13" s="20" t="s">
        <v>169</v>
      </c>
      <c r="B13" s="20" t="s">
        <v>170</v>
      </c>
      <c r="C13" s="20"/>
      <c r="D13" s="20"/>
      <c r="E13" s="20"/>
    </row>
    <row r="14" spans="1:5" x14ac:dyDescent="0.25">
      <c r="A14" s="20" t="s">
        <v>171</v>
      </c>
      <c r="B14" s="20" t="s">
        <v>172</v>
      </c>
      <c r="C14" s="20"/>
      <c r="D14" s="20"/>
      <c r="E14" s="20"/>
    </row>
    <row r="15" spans="1:5" ht="24.75" x14ac:dyDescent="0.25">
      <c r="A15" s="25" t="s">
        <v>173</v>
      </c>
      <c r="B15" s="57" t="s">
        <v>174</v>
      </c>
      <c r="C15" s="20"/>
      <c r="D15" s="20"/>
      <c r="E15" s="20"/>
    </row>
    <row r="17" spans="1:2" x14ac:dyDescent="0.25">
      <c r="A17" s="3"/>
    </row>
    <row r="18" spans="1:2" x14ac:dyDescent="0.25">
      <c r="A18" s="14"/>
      <c r="B18" s="9"/>
    </row>
    <row r="19" spans="1:2" x14ac:dyDescent="0.25">
      <c r="A19" s="17"/>
      <c r="B19" s="9"/>
    </row>
    <row r="20" spans="1:2" x14ac:dyDescent="0.25">
      <c r="A20" s="14"/>
      <c r="B20" s="9"/>
    </row>
    <row r="21" spans="1:2" x14ac:dyDescent="0.25">
      <c r="A21" s="15"/>
      <c r="B2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workbookViewId="0">
      <selection activeCell="B27" sqref="B27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3" width="28" customWidth="1"/>
    <col min="4" max="4" width="55" customWidth="1"/>
  </cols>
  <sheetData>
    <row r="2" spans="1:4" ht="18.75" x14ac:dyDescent="0.3">
      <c r="B2" s="2" t="s">
        <v>16</v>
      </c>
    </row>
    <row r="3" spans="1:4" x14ac:dyDescent="0.25">
      <c r="B3" s="9" t="s">
        <v>17</v>
      </c>
    </row>
    <row r="5" spans="1:4" x14ac:dyDescent="0.25">
      <c r="A5" s="16"/>
      <c r="B5" s="58" t="s">
        <v>18</v>
      </c>
      <c r="C5" s="58" t="s">
        <v>19</v>
      </c>
      <c r="D5" s="59" t="s">
        <v>20</v>
      </c>
    </row>
    <row r="6" spans="1:4" ht="30" customHeight="1" x14ac:dyDescent="0.25">
      <c r="B6" s="19" t="s">
        <v>175</v>
      </c>
      <c r="C6" s="60" t="s">
        <v>176</v>
      </c>
      <c r="D6" s="19" t="s">
        <v>177</v>
      </c>
    </row>
    <row r="7" spans="1:4" ht="30" customHeight="1" x14ac:dyDescent="0.25">
      <c r="B7" s="19" t="s">
        <v>178</v>
      </c>
      <c r="C7" s="60" t="s">
        <v>176</v>
      </c>
      <c r="D7" s="19" t="s">
        <v>179</v>
      </c>
    </row>
    <row r="8" spans="1:4" ht="30" customHeight="1" x14ac:dyDescent="0.25">
      <c r="B8" s="19" t="s">
        <v>180</v>
      </c>
      <c r="C8" s="60" t="s">
        <v>176</v>
      </c>
      <c r="D8" s="19" t="s">
        <v>181</v>
      </c>
    </row>
    <row r="9" spans="1:4" ht="30" customHeight="1" x14ac:dyDescent="0.25">
      <c r="B9" s="19" t="s">
        <v>182</v>
      </c>
      <c r="C9" s="60" t="s">
        <v>176</v>
      </c>
      <c r="D9" s="19" t="s">
        <v>183</v>
      </c>
    </row>
    <row r="10" spans="1:4" ht="30" customHeight="1" x14ac:dyDescent="0.25">
      <c r="B10" s="19" t="s">
        <v>184</v>
      </c>
      <c r="C10" s="60" t="s">
        <v>176</v>
      </c>
      <c r="D10" s="19" t="s">
        <v>185</v>
      </c>
    </row>
    <row r="11" spans="1:4" ht="30" customHeight="1" x14ac:dyDescent="0.25">
      <c r="B11" s="19" t="s">
        <v>186</v>
      </c>
      <c r="C11" s="60" t="s">
        <v>176</v>
      </c>
      <c r="D11" s="19" t="s">
        <v>187</v>
      </c>
    </row>
    <row r="12" spans="1:4" ht="30" customHeight="1" x14ac:dyDescent="0.25">
      <c r="B12" s="19" t="s">
        <v>188</v>
      </c>
      <c r="C12" s="60" t="s">
        <v>176</v>
      </c>
      <c r="D12" s="19" t="s">
        <v>189</v>
      </c>
    </row>
    <row r="13" spans="1:4" ht="30" customHeight="1" x14ac:dyDescent="0.25">
      <c r="B13" s="19" t="s">
        <v>190</v>
      </c>
      <c r="C13" s="60" t="s">
        <v>176</v>
      </c>
      <c r="D13" s="19" t="s">
        <v>191</v>
      </c>
    </row>
    <row r="14" spans="1:4" ht="30" customHeight="1" x14ac:dyDescent="0.25">
      <c r="B14" s="19" t="s">
        <v>192</v>
      </c>
      <c r="C14" s="60" t="s">
        <v>176</v>
      </c>
      <c r="D14" s="19" t="s">
        <v>193</v>
      </c>
    </row>
    <row r="15" spans="1:4" ht="30" customHeight="1" x14ac:dyDescent="0.25">
      <c r="B15" s="19" t="s">
        <v>194</v>
      </c>
      <c r="C15" s="60" t="s">
        <v>176</v>
      </c>
      <c r="D15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2</vt:lpstr>
      <vt:lpstr>Burndown Sprint 2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Hocine Akli</cp:lastModifiedBy>
  <dcterms:modified xsi:type="dcterms:W3CDTF">2026-06-30T14:44:42Z</dcterms:modified>
</cp:coreProperties>
</file>